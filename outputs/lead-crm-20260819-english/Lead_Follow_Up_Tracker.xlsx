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fcecf9432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1dd1b864a84f2e"/>
    <x:sheet xmlns:r="http://schemas.openxmlformats.org/officeDocument/2006/relationships" name="Leads" sheetId="2" r:id="R3e78d99d4169443e"/>
    <x:sheet xmlns:r="http://schemas.openxmlformats.org/officeDocument/2006/relationships" name="Activity Log" sheetId="3" r:id="Rcaeefb906f1c4187"/>
    <x:sheet xmlns:r="http://schemas.openxmlformats.org/officeDocument/2006/relationships" name="Lists &amp; Rules" sheetId="4" r:id="R153c8ff02bb941d8"/>
    <x:sheet xmlns:r="http://schemas.openxmlformats.org/officeDocument/2006/relationships" name="Quick Start" sheetId="5" r:id="R1c61397c7cd4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 hh:mm"/>
    <x:numFmt numFmtId="202" formatCode="yyyy-mm-dd"/>
    <x:numFmt numFmtId="203" formatCode="#,##0"/>
  </x:numFmts>
  <x:fonts count="17">
    <x:font>
      <x:sz val="11"/>
      <x:name val="Carlito"/>
    </x:font>
    <x:font>
      <x:b/>
      <x:sz val="22"/>
      <x:color rgb="FFFFFFFF"/>
      <x:name val="Aptos Display"/>
    </x:font>
    <x:font>
      <x:sz val="10"/>
      <x:color rgb="FFDCE8F5"/>
      <x:name val="Aptos"/>
    </x:font>
    <x:font>
      <x:b/>
      <x:sz val="10"/>
      <x:color rgb="FFFFFFFF"/>
      <x:name val="Aptos"/>
    </x:font>
    <x:font>
      <x:sz val="10"/>
      <x:color rgb="FF0B1F33"/>
      <x:name val="Aptos"/>
    </x:font>
    <x:font>
      <x:sz val="9"/>
      <x:color rgb="FF7C2D12"/>
      <x:name val="Aptos"/>
    </x:font>
    <x:font>
      <x:b/>
      <x:sz val="9"/>
      <x:color rgb="FF7C2D12"/>
      <x:name val="Aptos"/>
    </x:font>
    <x:font>
      <x:b/>
      <x:sz val="9"/>
      <x:color rgb="FFFFFFFF"/>
      <x:name val="Aptos"/>
    </x:font>
    <x:font>
      <x:b/>
      <x:sz val="20"/>
      <x:color rgb="FF0B1F33"/>
      <x:name val="Aptos Display"/>
    </x:font>
    <x:font>
      <x:b/>
      <x:sz val="9"/>
      <x:color rgb="FF0B1F33"/>
      <x:name val="Aptos"/>
    </x:font>
    <x:font>
      <x:sz val="11"/>
      <x:color rgb="FF0B1F33"/>
      <x:name val="Aptos"/>
    </x:font>
    <x:font>
      <x:b/>
      <x:sz val="12"/>
      <x:color rgb="FF166534"/>
      <x:name val="Aptos"/>
    </x:font>
    <x:font>
      <x:b/>
      <x:sz val="11"/>
      <x:color rgb="FFFFFFFF"/>
      <x:name val="Aptos"/>
    </x:font>
    <x:font>
      <x:b/>
      <x:sz val="11"/>
      <x:color rgb="FF0B1F33"/>
      <x:name val="Carlito"/>
    </x:font>
    <x:font>
      <x:b/>
      <x:sz val="11"/>
      <x:color rgb="FF991B1B"/>
      <x:name val="Carlito"/>
    </x:font>
    <x:font>
      <x:b/>
      <x:sz val="11"/>
      <x:color rgb="FF92400E"/>
      <x:name val="Carlito"/>
    </x:font>
    <x:font>
      <x:b/>
      <x:sz val="12"/>
      <x:color rgb="FF7C2D12"/>
      <x:name val="Aptos"/>
    </x:font>
  </x:fonts>
  <x:fills count="1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23452"/>
      </x:patternFill>
    </x:fill>
    <x:fill>
      <x:patternFill patternType="solid">
        <x:fgColor rgb="FFFFFBEA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16A34A"/>
      </x:patternFill>
    </x:fill>
    <x:fill>
      <x:patternFill patternType="solid">
        <x:fgColor rgb="FFDC2626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62">
    <x:border/>
    <x:border>
      <x:bottom style="thin">
        <x:color rgb="FFCBD5E1"/>
      </x:bottom>
    </x:border>
    <x:border>
      <x:left style="thin">
        <x:color rgb="FF2563EB"/>
      </x:left>
      <x:top style="thin">
        <x:color rgb="FF2563EB"/>
      </x:top>
    </x:border>
    <x:border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</x:border>
    <x:border>
      <x:right style="thin">
        <x:color rgb="FF2563EB"/>
      </x:right>
    </x:border>
    <x:border>
      <x:left style="thin">
        <x:color rgb="FF2563EB"/>
      </x:left>
      <x:bottom style="thin">
        <x:color rgb="FF2563EB"/>
      </x:bottom>
    </x:border>
    <x:border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bottom style="thin">
        <x:color rgb="FFE8EEF5"/>
      </x:bottom>
    </x:border>
    <x:border>
      <x:top style="thin">
        <x:color rgb="FFE8EEF5"/>
      </x:top>
      <x:bottom style="thin">
        <x:color rgb="FFE8EEF5"/>
      </x:bottom>
    </x:border>
    <x:border>
      <x:top style="thin">
        <x:color rgb="FFE8EEF5"/>
      </x:top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left style="thin">
        <x:color rgb="FF16A34A"/>
      </x:left>
      <x:top style="thin">
        <x:color rgb="FF16A34A"/>
      </x:top>
      <x:bottom style="thin">
        <x:color rgb="FF16A34A"/>
      </x:bottom>
    </x:border>
    <x:border>
      <x:right style="thin">
        <x:color rgb="FF16A34A"/>
      </x:right>
      <x:top style="thin">
        <x:color rgb="FF16A34A"/>
      </x:top>
      <x:bottom style="thin">
        <x:color rgb="FF16A34A"/>
      </x:bottom>
    </x:border>
    <x:border>
      <x:left style="thin">
        <x:color rgb="FF16A34A"/>
      </x:left>
      <x:top style="thin">
        <x:color rgb="FF16A34A"/>
      </x:top>
    </x:border>
    <x:border>
      <x:right style="thin">
        <x:color rgb="FF16A34A"/>
      </x:right>
      <x:top style="thin">
        <x:color rgb="FF16A34A"/>
      </x:top>
    </x:border>
    <x:border>
      <x:left style="thin">
        <x:color rgb="FF16A34A"/>
      </x:left>
      <x:bottom style="thin">
        <x:color rgb="FF16A34A"/>
      </x:bottom>
    </x:border>
    <x:border>
      <x:right style="thin">
        <x:color rgb="FF16A34A"/>
      </x:right>
      <x:bottom style="thin">
        <x:color rgb="FF16A34A"/>
      </x:bottom>
    </x:border>
    <x:border>
      <x:left style="thin">
        <x:color rgb="FFDC2626"/>
      </x:left>
      <x:top style="thin">
        <x:color rgb="FFDC2626"/>
      </x:top>
      <x:bottom style="thin">
        <x:color rgb="FFDC2626"/>
      </x:bottom>
    </x:border>
    <x:border>
      <x:right style="thin">
        <x:color rgb="FFDC2626"/>
      </x:right>
      <x:top style="thin">
        <x:color rgb="FFDC2626"/>
      </x:top>
      <x:bottom style="thin">
        <x:color rgb="FFDC2626"/>
      </x:bottom>
    </x:border>
    <x:border>
      <x:left style="thin">
        <x:color rgb="FFDC2626"/>
      </x:left>
      <x:top style="thin">
        <x:color rgb="FFDC2626"/>
      </x:top>
    </x:border>
    <x:border>
      <x:right style="thin">
        <x:color rgb="FFDC2626"/>
      </x:right>
      <x:top style="thin">
        <x:color rgb="FFDC2626"/>
      </x:top>
    </x:border>
    <x:border>
      <x:left style="thin">
        <x:color rgb="FFDC2626"/>
      </x:left>
      <x:bottom style="thin">
        <x:color rgb="FFDC2626"/>
      </x:bottom>
    </x:border>
    <x:border>
      <x:right style="thin">
        <x:color rgb="FFDC2626"/>
      </x:right>
      <x:bottom style="thin">
        <x:color rgb="FFDC2626"/>
      </x:bottom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  <x:border>
      <x:left style="thin">
        <x:color rgb="FFD97706"/>
      </x:left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left style="thin">
        <x:color rgb="FF7C3AED"/>
      </x:left>
      <x:top style="thin">
        <x:color rgb="FF7C3AED"/>
      </x:top>
      <x:bottom style="thin">
        <x:color rgb="FF7C3AED"/>
      </x:bottom>
    </x:border>
    <x:border>
      <x:right style="thin">
        <x:color rgb="FF7C3AED"/>
      </x:right>
      <x:top style="thin">
        <x:color rgb="FF7C3AED"/>
      </x:top>
      <x:bottom style="thin">
        <x:color rgb="FF7C3AED"/>
      </x:bottom>
    </x:border>
    <x:border>
      <x:left style="thin">
        <x:color rgb="FF7C3AED"/>
      </x:left>
      <x:top style="thin">
        <x:color rgb="FF7C3AED"/>
      </x:top>
    </x:border>
    <x:border>
      <x:right style="thin">
        <x:color rgb="FF7C3AED"/>
      </x:right>
      <x:top style="thin">
        <x:color rgb="FF7C3AED"/>
      </x:top>
    </x:border>
    <x:border>
      <x:left style="thin">
        <x:color rgb="FF7C3AED"/>
      </x:left>
      <x:bottom style="thin">
        <x:color rgb="FF7C3AED"/>
      </x:bottom>
    </x:border>
    <x:border>
      <x:right style="thin">
        <x:color rgb="FF7C3AED"/>
      </x:right>
      <x:bottom style="thin">
        <x:color rgb="FF7C3AE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16A34A"/>
      </x:left>
      <x:top style="medium">
        <x:color rgb="FF16A34A"/>
      </x:top>
    </x:border>
    <x:border>
      <x:top style="medium">
        <x:color rgb="FF16A34A"/>
      </x:top>
    </x:border>
    <x:border>
      <x:right style="medium">
        <x:color rgb="FF16A34A"/>
      </x:right>
      <x:top style="medium">
        <x:color rgb="FF16A34A"/>
      </x:top>
    </x:border>
    <x:border>
      <x:left style="medium">
        <x:color rgb="FF16A34A"/>
      </x:left>
    </x:border>
    <x:border>
      <x:right style="medium">
        <x:color rgb="FF16A34A"/>
      </x:right>
    </x:border>
    <x:border>
      <x:left style="medium">
        <x:color rgb="FF16A34A"/>
      </x:left>
      <x:bottom style="medium">
        <x:color rgb="FF16A34A"/>
      </x:bottom>
    </x:border>
    <x:border>
      <x:bottom style="medium">
        <x:color rgb="FF16A34A"/>
      </x:bottom>
    </x:border>
    <x:border>
      <x:right style="medium">
        <x:color rgb="FF16A34A"/>
      </x:right>
      <x:bottom style="medium">
        <x:color rgb="FF16A34A"/>
      </x:bottom>
    </x:border>
    <x:border>
      <x:left style="medium">
        <x:color rgb="FFD97706"/>
      </x:left>
      <x:top style="medium">
        <x:color rgb="FFD97706"/>
      </x:top>
    </x:border>
    <x:border>
      <x:top style="medium">
        <x:color rgb="FFD97706"/>
      </x:top>
    </x:border>
    <x:border>
      <x:right style="medium">
        <x:color rgb="FFD97706"/>
      </x:right>
      <x:top style="medium">
        <x:color rgb="FFD97706"/>
      </x:top>
    </x:border>
    <x:border>
      <x:left style="medium">
        <x:color rgb="FFD97706"/>
      </x:left>
    </x:border>
    <x:border>
      <x:right style="medium">
        <x:color rgb="FFD97706"/>
      </x:right>
    </x:border>
    <x:border>
      <x:left style="medium">
        <x:color rgb="FFD97706"/>
      </x:left>
      <x:bottom style="medium">
        <x:color rgb="FFD97706"/>
      </x:bottom>
    </x:border>
    <x:border>
      <x:bottom style="medium">
        <x:color rgb="FFD97706"/>
      </x:bottom>
    </x:border>
    <x:border>
      <x:right style="medium">
        <x:color rgb="FFD97706"/>
      </x:right>
      <x:bottom style="medium">
        <x:color rgb="FFD97706"/>
      </x:bottom>
    </x:border>
  </x:borders>
  <x:cellStyleXfs count="1">
    <x:xf numFmtId="0" fontId="0" fillId="0" borderId="0"/>
  </x:cellStyleXfs>
  <x:cellXfs count="3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7" borderId="10" xfId="0" applyNumberFormat="1" applyFont="1" applyFill="1" applyBorder="1" applyAlignment="1">
      <x:alignment vertical="center"/>
    </x:xf>
    <x:xf numFmtId="0" fontId="4" fillId="7" borderId="11" xfId="0" applyNumberFormat="1" applyFont="1" applyFill="1" applyBorder="1" applyAlignment="1">
      <x:alignment vertical="center"/>
    </x:xf>
    <x:xf numFmtId="0" fontId="4" fillId="7" borderId="12" xfId="0" applyNumberFormat="1" applyFont="1" applyFill="1" applyBorder="1" applyAlignment="1">
      <x:alignment vertical="center"/>
    </x:xf>
    <x:xf numFmtId="201" fontId="4" fillId="4" borderId="10" xfId="0" applyNumberFormat="1" applyFont="1" applyFill="1" applyBorder="1" applyAlignment="1">
      <x:alignment vertical="center"/>
    </x:xf>
    <x:xf numFmtId="201" fontId="4" fillId="4" borderId="11" xfId="0" applyNumberFormat="1" applyFont="1" applyFill="1" applyBorder="1" applyAlignment="1">
      <x:alignment vertical="center"/>
    </x:xf>
    <x:xf numFmtId="201" fontId="4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202" fontId="4" fillId="4" borderId="10" xfId="0" applyNumberFormat="1" applyFont="1" applyFill="1" applyBorder="1" applyAlignment="1">
      <x:alignment vertical="center"/>
    </x:xf>
    <x:xf numFmtId="202" fontId="4" fillId="4" borderId="11" xfId="0" applyNumberFormat="1" applyFont="1" applyFill="1" applyBorder="1" applyAlignment="1">
      <x:alignment vertical="center"/>
    </x:xf>
    <x:xf numFmtId="202" fontId="4" fillId="4" borderId="12" xfId="0" applyNumberFormat="1" applyFont="1" applyFill="1" applyBorder="1" applyAlignment="1">
      <x:alignment vertical="center"/>
    </x:xf>
    <x:xf numFmtId="201" fontId="4" fillId="7" borderId="10" xfId="0" applyNumberFormat="1" applyFont="1" applyFill="1" applyBorder="1" applyAlignment="1">
      <x:alignment vertical="center"/>
    </x:xf>
    <x:xf numFmtId="201" fontId="4" fillId="7" borderId="11" xfId="0" applyNumberFormat="1" applyFont="1" applyFill="1" applyBorder="1" applyAlignment="1">
      <x:alignment vertical="center"/>
    </x:xf>
    <x:xf numFmtId="201" fontId="4" fillId="7" borderId="12" xfId="0" applyNumberFormat="1" applyFont="1" applyFill="1" applyBorder="1" applyAlignment="1">
      <x:alignment vertical="center"/>
    </x:xf>
    <x:xf numFmtId="203" fontId="4" fillId="4" borderId="10" xfId="0" applyNumberFormat="1" applyFont="1" applyFill="1" applyBorder="1" applyAlignment="1">
      <x:alignment vertical="center"/>
    </x:xf>
    <x:xf numFmtId="203" fontId="4" fillId="4" borderId="11" xfId="0" applyNumberFormat="1" applyFont="1" applyFill="1" applyBorder="1" applyAlignment="1">
      <x:alignment vertical="center"/>
    </x:xf>
    <x:xf numFmtId="203" fontId="4" fillId="4" borderId="12" xfId="0" applyNumberFormat="1" applyFont="1" applyFill="1" applyBorder="1" applyAlignment="1">
      <x:alignment vertical="center"/>
    </x:xf>
    <x:xf numFmtId="200" fontId="4" fillId="7" borderId="10" xfId="0" applyNumberFormat="1" applyFont="1" applyFill="1" applyBorder="1" applyAlignment="1">
      <x:alignment vertical="center"/>
    </x:xf>
    <x:xf numFmtId="200" fontId="4" fillId="7" borderId="11" xfId="0" applyNumberFormat="1" applyFont="1" applyFill="1" applyBorder="1" applyAlignment="1">
      <x:alignment vertical="center"/>
    </x:xf>
    <x:xf numFmtId="200" fontId="4" fillId="7" borderId="12" xfId="0" applyNumberFormat="1" applyFont="1" applyFill="1" applyBorder="1" applyAlignment="1">
      <x:alignment vertical="center"/>
    </x:xf>
    <x:xf numFmtId="203" fontId="4" fillId="7" borderId="10" xfId="0" applyNumberFormat="1" applyFont="1" applyFill="1" applyBorder="1" applyAlignment="1">
      <x:alignment vertical="center"/>
    </x:xf>
    <x:xf numFmtId="203" fontId="4" fillId="7" borderId="11" xfId="0" applyNumberFormat="1" applyFont="1" applyFill="1" applyBorder="1" applyAlignment="1">
      <x:alignment vertical="center"/>
    </x:xf>
    <x:xf numFmtId="203" fontId="4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3" xfId="0" applyNumberFormat="1" applyFont="1" applyFill="1" applyBorder="1"/>
    <x:xf numFmtId="0" fontId="7" fillId="8" borderId="14" xfId="0" applyNumberFormat="1" applyFont="1" applyFill="1" applyBorder="1"/>
    <x:xf numFmtId="0" fontId="7" fillId="8" borderId="13" xfId="0" applyNumberFormat="1" applyFont="1" applyFill="1" applyBorder="1" applyAlignment="1">
      <x:alignment horizontal="center"/>
    </x:xf>
    <x:xf numFmtId="0" fontId="7" fillId="8" borderId="14" xfId="0" applyNumberFormat="1" applyFont="1" applyFill="1" applyBorder="1" applyAlignment="1">
      <x:alignment horizontal="center"/>
    </x:xf>
    <x:xf numFmtId="0" fontId="7" fillId="8" borderId="13" xfId="0" applyNumberFormat="1" applyFont="1" applyFill="1" applyBorder="1" applyAlignment="1">
      <x:alignment horizontal="center" vertical="center"/>
    </x:xf>
    <x:xf numFmtId="0" fontId="7" fillId="8" borderId="1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" xfId="0" applyNumberFormat="1" applyFont="1" applyFill="1" applyBorder="1"/>
    <x:xf numFmtId="0" fontId="8" fillId="9" borderId="4" xfId="0" applyNumberFormat="1" applyFont="1" applyFill="1" applyBorder="1"/>
    <x:xf numFmtId="0" fontId="8" fillId="9" borderId="7" xfId="0" applyNumberFormat="1" applyFont="1" applyFill="1" applyBorder="1"/>
    <x:xf numFmtId="0" fontId="8" fillId="9" borderId="9" xfId="0" applyNumberFormat="1" applyFont="1" applyFill="1" applyBorder="1"/>
    <x:xf numFmtId="0" fontId="8" fillId="9" borderId="2" xfId="0" applyNumberFormat="1" applyFont="1" applyFill="1" applyBorder="1" applyAlignment="1">
      <x:alignment horizontal="center"/>
    </x:xf>
    <x:xf numFmtId="0" fontId="8" fillId="9" borderId="4" xfId="0" applyNumberFormat="1" applyFont="1" applyFill="1" applyBorder="1" applyAlignment="1">
      <x:alignment horizontal="center"/>
    </x:xf>
    <x:xf numFmtId="0" fontId="8" fillId="9" borderId="7" xfId="0" applyNumberFormat="1" applyFont="1" applyFill="1" applyBorder="1" applyAlignment="1">
      <x:alignment horizontal="center"/>
    </x:xf>
    <x:xf numFmtId="0" fontId="8" fillId="9" borderId="9" xfId="0" applyNumberFormat="1" applyFont="1" applyFill="1" applyBorder="1" applyAlignment="1">
      <x:alignment horizontal="center"/>
    </x:xf>
    <x:xf numFmtId="0" fontId="8" fillId="9" borderId="2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9" borderId="7" xfId="0" applyNumberFormat="1" applyFont="1" applyFill="1" applyBorder="1" applyAlignment="1">
      <x:alignment horizontal="center" vertical="center"/>
    </x:xf>
    <x:xf numFmtId="0" fontId="8" fillId="9" borderId="9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5" xfId="0" applyNumberFormat="1" applyFont="1" applyFill="1" applyBorder="1"/>
    <x:xf numFmtId="0" fontId="7" fillId="10" borderId="16" xfId="0" applyNumberFormat="1" applyFont="1" applyFill="1" applyBorder="1"/>
    <x:xf numFmtId="0" fontId="7" fillId="10" borderId="15" xfId="0" applyNumberFormat="1" applyFont="1" applyFill="1" applyBorder="1" applyAlignment="1">
      <x:alignment horizontal="center"/>
    </x:xf>
    <x:xf numFmtId="0" fontId="7" fillId="10" borderId="16" xfId="0" applyNumberFormat="1" applyFont="1" applyFill="1" applyBorder="1" applyAlignment="1">
      <x:alignment horizontal="center"/>
    </x:xf>
    <x:xf numFmtId="0" fontId="7" fillId="10" borderId="15" xfId="0" applyNumberFormat="1" applyFont="1" applyFill="1" applyBorder="1" applyAlignment="1">
      <x:alignment horizontal="center" vertical="center"/>
    </x:xf>
    <x:xf numFmtId="0" fontId="7" fillId="10" borderId="16" xfId="0" applyNumberFormat="1" applyFont="1" applyFill="1" applyBorder="1" applyAlignment="1">
      <x:alignment horizontal="center" vertical="center"/>
    </x:xf>
    <x:xf numFmtId="0" fontId="8" fillId="9" borderId="17" xfId="0" applyNumberFormat="1" applyFont="1" applyFill="1" applyBorder="1"/>
    <x:xf numFmtId="0" fontId="8" fillId="9" borderId="18" xfId="0" applyNumberFormat="1" applyFont="1" applyFill="1" applyBorder="1"/>
    <x:xf numFmtId="0" fontId="8" fillId="9" borderId="19" xfId="0" applyNumberFormat="1" applyFont="1" applyFill="1" applyBorder="1"/>
    <x:xf numFmtId="0" fontId="8" fillId="9" borderId="20" xfId="0" applyNumberFormat="1" applyFont="1" applyFill="1" applyBorder="1"/>
    <x:xf numFmtId="0" fontId="8" fillId="9" borderId="17" xfId="0" applyNumberFormat="1" applyFont="1" applyFill="1" applyBorder="1" applyAlignment="1">
      <x:alignment horizontal="center"/>
    </x:xf>
    <x:xf numFmtId="0" fontId="8" fillId="9" borderId="18" xfId="0" applyNumberFormat="1" applyFont="1" applyFill="1" applyBorder="1" applyAlignment="1">
      <x:alignment horizontal="center"/>
    </x:xf>
    <x:xf numFmtId="0" fontId="8" fillId="9" borderId="19" xfId="0" applyNumberFormat="1" applyFont="1" applyFill="1" applyBorder="1" applyAlignment="1">
      <x:alignment horizontal="center"/>
    </x:xf>
    <x:xf numFmtId="0" fontId="8" fillId="9" borderId="20" xfId="0" applyNumberFormat="1" applyFont="1" applyFill="1" applyBorder="1" applyAlignment="1">
      <x:alignment horizontal="center"/>
    </x:xf>
    <x:xf numFmtId="0" fontId="8" fillId="9" borderId="17" xfId="0" applyNumberFormat="1" applyFont="1" applyFill="1" applyBorder="1" applyAlignment="1">
      <x:alignment horizontal="center" vertical="center"/>
    </x:xf>
    <x:xf numFmtId="0" fontId="8" fillId="9" borderId="18" xfId="0" applyNumberFormat="1" applyFont="1" applyFill="1" applyBorder="1" applyAlignment="1">
      <x:alignment horizontal="center" vertical="center"/>
    </x:xf>
    <x:xf numFmtId="0" fontId="8" fillId="9" borderId="19" xfId="0" applyNumberFormat="1" applyFont="1" applyFill="1" applyBorder="1" applyAlignment="1">
      <x:alignment horizontal="center" vertical="center"/>
    </x:xf>
    <x:xf numFmtId="0" fontId="8" fillId="9" borderId="2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21" xfId="0" applyNumberFormat="1" applyFont="1" applyFill="1" applyBorder="1"/>
    <x:xf numFmtId="0" fontId="7" fillId="11" borderId="22" xfId="0" applyNumberFormat="1" applyFont="1" applyFill="1" applyBorder="1"/>
    <x:xf numFmtId="0" fontId="7" fillId="11" borderId="21" xfId="0" applyNumberFormat="1" applyFont="1" applyFill="1" applyBorder="1" applyAlignment="1">
      <x:alignment horizontal="center"/>
    </x:xf>
    <x:xf numFmtId="0" fontId="7" fillId="11" borderId="22" xfId="0" applyNumberFormat="1" applyFont="1" applyFill="1" applyBorder="1" applyAlignment="1">
      <x:alignment horizontal="center"/>
    </x:xf>
    <x:xf numFmtId="0" fontId="7" fillId="11" borderId="21" xfId="0" applyNumberFormat="1" applyFont="1" applyFill="1" applyBorder="1" applyAlignment="1">
      <x:alignment horizontal="center" vertical="center"/>
    </x:xf>
    <x:xf numFmtId="0" fontId="7" fillId="11" borderId="22" xfId="0" applyNumberFormat="1" applyFont="1" applyFill="1" applyBorder="1" applyAlignment="1">
      <x:alignment horizontal="center" vertical="center"/>
    </x:xf>
    <x:xf numFmtId="0" fontId="8" fillId="9" borderId="23" xfId="0" applyNumberFormat="1" applyFont="1" applyFill="1" applyBorder="1"/>
    <x:xf numFmtId="0" fontId="8" fillId="9" borderId="24" xfId="0" applyNumberFormat="1" applyFont="1" applyFill="1" applyBorder="1"/>
    <x:xf numFmtId="0" fontId="8" fillId="9" borderId="25" xfId="0" applyNumberFormat="1" applyFont="1" applyFill="1" applyBorder="1"/>
    <x:xf numFmtId="0" fontId="8" fillId="9" borderId="26" xfId="0" applyNumberFormat="1" applyFont="1" applyFill="1" applyBorder="1"/>
    <x:xf numFmtId="0" fontId="8" fillId="9" borderId="23" xfId="0" applyNumberFormat="1" applyFont="1" applyFill="1" applyBorder="1" applyAlignment="1">
      <x:alignment horizontal="center"/>
    </x:xf>
    <x:xf numFmtId="0" fontId="8" fillId="9" borderId="24" xfId="0" applyNumberFormat="1" applyFont="1" applyFill="1" applyBorder="1" applyAlignment="1">
      <x:alignment horizontal="center"/>
    </x:xf>
    <x:xf numFmtId="0" fontId="8" fillId="9" borderId="25" xfId="0" applyNumberFormat="1" applyFont="1" applyFill="1" applyBorder="1" applyAlignment="1">
      <x:alignment horizontal="center"/>
    </x:xf>
    <x:xf numFmtId="0" fontId="8" fillId="9" borderId="26" xfId="0" applyNumberFormat="1" applyFont="1" applyFill="1" applyBorder="1" applyAlignment="1">
      <x:alignment horizontal="center"/>
    </x:xf>
    <x:xf numFmtId="0" fontId="8" fillId="9" borderId="23" xfId="0" applyNumberFormat="1" applyFont="1" applyFill="1" applyBorder="1" applyAlignment="1">
      <x:alignment horizontal="center" vertical="center"/>
    </x:xf>
    <x:xf numFmtId="0" fontId="8" fillId="9" borderId="24" xfId="0" applyNumberFormat="1" applyFont="1" applyFill="1" applyBorder="1" applyAlignment="1">
      <x:alignment horizontal="center" vertical="center"/>
    </x:xf>
    <x:xf numFmtId="0" fontId="8" fillId="9" borderId="25" xfId="0" applyNumberFormat="1" applyFont="1" applyFill="1" applyBorder="1" applyAlignment="1">
      <x:alignment horizontal="center" vertical="center"/>
    </x:xf>
    <x:xf numFmtId="0" fontId="8" fillId="9" borderId="26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27" xfId="0" applyNumberFormat="1" applyFont="1" applyFill="1" applyBorder="1"/>
    <x:xf numFmtId="0" fontId="7" fillId="12" borderId="28" xfId="0" applyNumberFormat="1" applyFont="1" applyFill="1" applyBorder="1"/>
    <x:xf numFmtId="0" fontId="7" fillId="12" borderId="27" xfId="0" applyNumberFormat="1" applyFont="1" applyFill="1" applyBorder="1" applyAlignment="1">
      <x:alignment horizontal="center"/>
    </x:xf>
    <x:xf numFmtId="0" fontId="7" fillId="12" borderId="28" xfId="0" applyNumberFormat="1" applyFont="1" applyFill="1" applyBorder="1" applyAlignment="1">
      <x:alignment horizontal="center"/>
    </x:xf>
    <x:xf numFmtId="0" fontId="7" fillId="12" borderId="27" xfId="0" applyNumberFormat="1" applyFont="1" applyFill="1" applyBorder="1" applyAlignment="1">
      <x:alignment horizontal="center" vertical="center"/>
    </x:xf>
    <x:xf numFmtId="0" fontId="7" fillId="12" borderId="28" xfId="0" applyNumberFormat="1" applyFont="1" applyFill="1" applyBorder="1" applyAlignment="1">
      <x:alignment horizontal="center" vertical="center"/>
    </x:xf>
    <x:xf numFmtId="0" fontId="8" fillId="9" borderId="29" xfId="0" applyNumberFormat="1" applyFont="1" applyFill="1" applyBorder="1"/>
    <x:xf numFmtId="0" fontId="8" fillId="9" borderId="30" xfId="0" applyNumberFormat="1" applyFont="1" applyFill="1" applyBorder="1"/>
    <x:xf numFmtId="0" fontId="8" fillId="9" borderId="31" xfId="0" applyNumberFormat="1" applyFont="1" applyFill="1" applyBorder="1"/>
    <x:xf numFmtId="0" fontId="8" fillId="9" borderId="32" xfId="0" applyNumberFormat="1" applyFont="1" applyFill="1" applyBorder="1"/>
    <x:xf numFmtId="0" fontId="8" fillId="9" borderId="29" xfId="0" applyNumberFormat="1" applyFont="1" applyFill="1" applyBorder="1" applyAlignment="1">
      <x:alignment horizontal="center"/>
    </x:xf>
    <x:xf numFmtId="0" fontId="8" fillId="9" borderId="30" xfId="0" applyNumberFormat="1" applyFont="1" applyFill="1" applyBorder="1" applyAlignment="1">
      <x:alignment horizontal="center"/>
    </x:xf>
    <x:xf numFmtId="0" fontId="8" fillId="9" borderId="31" xfId="0" applyNumberFormat="1" applyFont="1" applyFill="1" applyBorder="1" applyAlignment="1">
      <x:alignment horizontal="center"/>
    </x:xf>
    <x:xf numFmtId="0" fontId="8" fillId="9" borderId="32" xfId="0" applyNumberFormat="1" applyFont="1" applyFill="1" applyBorder="1" applyAlignment="1">
      <x:alignment horizontal="center"/>
    </x:xf>
    <x:xf numFmtId="0" fontId="8" fillId="9" borderId="29" xfId="0" applyNumberFormat="1" applyFont="1" applyFill="1" applyBorder="1" applyAlignment="1">
      <x:alignment horizontal="center" vertical="center"/>
    </x:xf>
    <x:xf numFmtId="0" fontId="8" fillId="9" borderId="30" xfId="0" applyNumberFormat="1" applyFont="1" applyFill="1" applyBorder="1" applyAlignment="1">
      <x:alignment horizontal="center" vertical="center"/>
    </x:xf>
    <x:xf numFmtId="0" fontId="8" fillId="9" borderId="31" xfId="0" applyNumberFormat="1" applyFont="1" applyFill="1" applyBorder="1" applyAlignment="1">
      <x:alignment horizontal="center" vertical="center"/>
    </x:xf>
    <x:xf numFmtId="0" fontId="8" fillId="9" borderId="32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33" xfId="0" applyNumberFormat="1" applyFont="1" applyFill="1" applyBorder="1"/>
    <x:xf numFmtId="0" fontId="7" fillId="13" borderId="34" xfId="0" applyNumberFormat="1" applyFont="1" applyFill="1" applyBorder="1"/>
    <x:xf numFmtId="0" fontId="7" fillId="13" borderId="33" xfId="0" applyNumberFormat="1" applyFont="1" applyFill="1" applyBorder="1" applyAlignment="1">
      <x:alignment horizontal="center"/>
    </x:xf>
    <x:xf numFmtId="0" fontId="7" fillId="13" borderId="34" xfId="0" applyNumberFormat="1" applyFont="1" applyFill="1" applyBorder="1" applyAlignment="1">
      <x:alignment horizontal="center"/>
    </x:xf>
    <x:xf numFmtId="0" fontId="7" fillId="13" borderId="33" xfId="0" applyNumberFormat="1" applyFont="1" applyFill="1" applyBorder="1" applyAlignment="1">
      <x:alignment horizontal="center" vertical="center"/>
    </x:xf>
    <x:xf numFmtId="0" fontId="7" fillId="13" borderId="34" xfId="0" applyNumberFormat="1" applyFont="1" applyFill="1" applyBorder="1" applyAlignment="1">
      <x:alignment horizontal="center" vertical="center"/>
    </x:xf>
    <x:xf numFmtId="0" fontId="8" fillId="9" borderId="35" xfId="0" applyNumberFormat="1" applyFont="1" applyFill="1" applyBorder="1"/>
    <x:xf numFmtId="0" fontId="8" fillId="9" borderId="36" xfId="0" applyNumberFormat="1" applyFont="1" applyFill="1" applyBorder="1"/>
    <x:xf numFmtId="0" fontId="8" fillId="9" borderId="37" xfId="0" applyNumberFormat="1" applyFont="1" applyFill="1" applyBorder="1"/>
    <x:xf numFmtId="0" fontId="8" fillId="9" borderId="38" xfId="0" applyNumberFormat="1" applyFont="1" applyFill="1" applyBorder="1"/>
    <x:xf numFmtId="0" fontId="8" fillId="9" borderId="35" xfId="0" applyNumberFormat="1" applyFont="1" applyFill="1" applyBorder="1" applyAlignment="1">
      <x:alignment horizontal="center"/>
    </x:xf>
    <x:xf numFmtId="0" fontId="8" fillId="9" borderId="36" xfId="0" applyNumberFormat="1" applyFont="1" applyFill="1" applyBorder="1" applyAlignment="1">
      <x:alignment horizontal="center"/>
    </x:xf>
    <x:xf numFmtId="0" fontId="8" fillId="9" borderId="37" xfId="0" applyNumberFormat="1" applyFont="1" applyFill="1" applyBorder="1" applyAlignment="1">
      <x:alignment horizontal="center"/>
    </x:xf>
    <x:xf numFmtId="0" fontId="8" fillId="9" borderId="38" xfId="0" applyNumberFormat="1" applyFont="1" applyFill="1" applyBorder="1" applyAlignment="1">
      <x:alignment horizontal="center"/>
    </x:xf>
    <x:xf numFmtId="0" fontId="8" fillId="9" borderId="35" xfId="0" applyNumberFormat="1" applyFont="1" applyFill="1" applyBorder="1" applyAlignment="1">
      <x:alignment horizontal="center" vertical="center"/>
    </x:xf>
    <x:xf numFmtId="0" fontId="8" fillId="9" borderId="36" xfId="0" applyNumberFormat="1" applyFont="1" applyFill="1" applyBorder="1" applyAlignment="1">
      <x:alignment horizontal="center" vertical="center"/>
    </x:xf>
    <x:xf numFmtId="0" fontId="8" fillId="9" borderId="37" xfId="0" applyNumberFormat="1" applyFont="1" applyFill="1" applyBorder="1" applyAlignment="1">
      <x:alignment horizontal="center" vertical="center"/>
    </x:xf>
    <x:xf numFmtId="0" fontId="8" fillId="9" borderId="38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39" xfId="0" applyNumberFormat="1" applyFont="1" applyFill="1" applyBorder="1"/>
    <x:xf numFmtId="0" fontId="7" fillId="14" borderId="40" xfId="0" applyNumberFormat="1" applyFont="1" applyFill="1" applyBorder="1"/>
    <x:xf numFmtId="0" fontId="7" fillId="14" borderId="39" xfId="0" applyNumberFormat="1" applyFont="1" applyFill="1" applyBorder="1" applyAlignment="1">
      <x:alignment horizontal="center"/>
    </x:xf>
    <x:xf numFmtId="0" fontId="7" fillId="14" borderId="40" xfId="0" applyNumberFormat="1" applyFont="1" applyFill="1" applyBorder="1" applyAlignment="1">
      <x:alignment horizontal="center"/>
    </x:xf>
    <x:xf numFmtId="0" fontId="7" fillId="14" borderId="39" xfId="0" applyNumberFormat="1" applyFont="1" applyFill="1" applyBorder="1" applyAlignment="1">
      <x:alignment horizontal="center" vertical="center"/>
    </x:xf>
    <x:xf numFmtId="0" fontId="7" fillId="14" borderId="40" xfId="0" applyNumberFormat="1" applyFont="1" applyFill="1" applyBorder="1" applyAlignment="1">
      <x:alignment horizontal="center" vertical="center"/>
    </x:xf>
    <x:xf numFmtId="0" fontId="8" fillId="9" borderId="41" xfId="0" applyNumberFormat="1" applyFont="1" applyFill="1" applyBorder="1"/>
    <x:xf numFmtId="0" fontId="8" fillId="9" borderId="42" xfId="0" applyNumberFormat="1" applyFont="1" applyFill="1" applyBorder="1"/>
    <x:xf numFmtId="0" fontId="8" fillId="9" borderId="43" xfId="0" applyNumberFormat="1" applyFont="1" applyFill="1" applyBorder="1"/>
    <x:xf numFmtId="0" fontId="8" fillId="9" borderId="44" xfId="0" applyNumberFormat="1" applyFont="1" applyFill="1" applyBorder="1"/>
    <x:xf numFmtId="0" fontId="8" fillId="9" borderId="41" xfId="0" applyNumberFormat="1" applyFont="1" applyFill="1" applyBorder="1" applyAlignment="1">
      <x:alignment horizontal="center"/>
    </x:xf>
    <x:xf numFmtId="0" fontId="8" fillId="9" borderId="42" xfId="0" applyNumberFormat="1" applyFont="1" applyFill="1" applyBorder="1" applyAlignment="1">
      <x:alignment horizontal="center"/>
    </x:xf>
    <x:xf numFmtId="0" fontId="8" fillId="9" borderId="43" xfId="0" applyNumberFormat="1" applyFont="1" applyFill="1" applyBorder="1" applyAlignment="1">
      <x:alignment horizontal="center"/>
    </x:xf>
    <x:xf numFmtId="0" fontId="8" fillId="9" borderId="44" xfId="0" applyNumberFormat="1" applyFont="1" applyFill="1" applyBorder="1" applyAlignment="1">
      <x:alignment horizontal="center"/>
    </x:xf>
    <x:xf numFmtId="0" fontId="8" fillId="9" borderId="41" xfId="0" applyNumberFormat="1" applyFont="1" applyFill="1" applyBorder="1" applyAlignment="1">
      <x:alignment horizontal="center" vertical="center"/>
    </x:xf>
    <x:xf numFmtId="0" fontId="8" fillId="9" borderId="42" xfId="0" applyNumberFormat="1" applyFont="1" applyFill="1" applyBorder="1" applyAlignment="1">
      <x:alignment horizontal="center" vertical="center"/>
    </x:xf>
    <x:xf numFmtId="0" fontId="8" fillId="9" borderId="43" xfId="0" applyNumberFormat="1" applyFont="1" applyFill="1" applyBorder="1" applyAlignment="1">
      <x:alignment horizontal="center" vertical="center"/>
    </x:xf>
    <x:xf numFmtId="0" fontId="8" fillId="9" borderId="44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45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203" fontId="4" fillId="9" borderId="0" xfId="0" applyNumberFormat="1" applyFont="1" applyFill="1" applyBorder="1"/>
    <x:xf numFmtId="203" fontId="4" fillId="9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2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2" xfId="0" applyNumberFormat="1" applyFont="1" applyFill="1" applyBorder="1" applyAlignment="1">
      <x:alignment wrapText="1"/>
    </x:xf>
    <x:xf numFmtId="0" fontId="10" fillId="5" borderId="3" xfId="0" applyNumberFormat="1" applyFont="1" applyFill="1" applyBorder="1" applyAlignment="1">
      <x:alignment wrapText="1"/>
    </x:xf>
    <x:xf numFmtId="0" fontId="10" fillId="5" borderId="4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6" xfId="0" applyNumberFormat="1" applyFont="1" applyFill="1" applyBorder="1" applyAlignment="1">
      <x:alignment wrapText="1"/>
    </x:xf>
    <x:xf numFmtId="0" fontId="10" fillId="5" borderId="7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2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10" fillId="5" borderId="7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46" xfId="0" applyNumberFormat="1" applyFont="1" applyFill="1" applyBorder="1"/>
    <x:xf numFmtId="0" fontId="11" fillId="16" borderId="47" xfId="0" applyNumberFormat="1" applyFont="1" applyFill="1" applyBorder="1"/>
    <x:xf numFmtId="0" fontId="11" fillId="16" borderId="48" xfId="0" applyNumberFormat="1" applyFont="1" applyFill="1" applyBorder="1"/>
    <x:xf numFmtId="0" fontId="11" fillId="16" borderId="49" xfId="0" applyNumberFormat="1" applyFont="1" applyFill="1" applyBorder="1"/>
    <x:xf numFmtId="0" fontId="11" fillId="16" borderId="50" xfId="0" applyNumberFormat="1" applyFont="1" applyFill="1" applyBorder="1"/>
    <x:xf numFmtId="0" fontId="11" fillId="16" borderId="51" xfId="0" applyNumberFormat="1" applyFont="1" applyFill="1" applyBorder="1"/>
    <x:xf numFmtId="0" fontId="11" fillId="16" borderId="52" xfId="0" applyNumberFormat="1" applyFont="1" applyFill="1" applyBorder="1"/>
    <x:xf numFmtId="0" fontId="11" fillId="16" borderId="53" xfId="0" applyNumberFormat="1" applyFont="1" applyFill="1" applyBorder="1"/>
    <x:xf numFmtId="0" fontId="11" fillId="16" borderId="46" xfId="0" applyNumberFormat="1" applyFont="1" applyFill="1" applyBorder="1" applyAlignment="1">
      <x:alignment wrapText="1"/>
    </x:xf>
    <x:xf numFmtId="0" fontId="11" fillId="16" borderId="47" xfId="0" applyNumberFormat="1" applyFont="1" applyFill="1" applyBorder="1" applyAlignment="1">
      <x:alignment wrapText="1"/>
    </x:xf>
    <x:xf numFmtId="0" fontId="11" fillId="16" borderId="48" xfId="0" applyNumberFormat="1" applyFont="1" applyFill="1" applyBorder="1" applyAlignment="1">
      <x:alignment wrapText="1"/>
    </x:xf>
    <x:xf numFmtId="0" fontId="11" fillId="16" borderId="49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wrapText="1"/>
    </x:xf>
    <x:xf numFmtId="0" fontId="11" fillId="16" borderId="50" xfId="0" applyNumberFormat="1" applyFont="1" applyFill="1" applyBorder="1" applyAlignment="1">
      <x:alignment wrapText="1"/>
    </x:xf>
    <x:xf numFmtId="0" fontId="11" fillId="16" borderId="51" xfId="0" applyNumberFormat="1" applyFont="1" applyFill="1" applyBorder="1" applyAlignment="1">
      <x:alignment wrapText="1"/>
    </x:xf>
    <x:xf numFmtId="0" fontId="11" fillId="16" borderId="52" xfId="0" applyNumberFormat="1" applyFont="1" applyFill="1" applyBorder="1" applyAlignment="1">
      <x:alignment wrapText="1"/>
    </x:xf>
    <x:xf numFmtId="0" fontId="11" fillId="16" borderId="53" xfId="0" applyNumberFormat="1" applyFont="1" applyFill="1" applyBorder="1" applyAlignment="1">
      <x:alignment wrapText="1"/>
    </x:xf>
    <x:xf numFmtId="0" fontId="11" fillId="16" borderId="46" xfId="0" applyNumberFormat="1" applyFont="1" applyFill="1" applyBorder="1" applyAlignment="1">
      <x:alignment horizontal="center" wrapText="1"/>
    </x:xf>
    <x:xf numFmtId="0" fontId="11" fillId="16" borderId="47" xfId="0" applyNumberFormat="1" applyFont="1" applyFill="1" applyBorder="1" applyAlignment="1">
      <x:alignment horizontal="center" wrapText="1"/>
    </x:xf>
    <x:xf numFmtId="0" fontId="11" fillId="16" borderId="48" xfId="0" applyNumberFormat="1" applyFont="1" applyFill="1" applyBorder="1" applyAlignment="1">
      <x:alignment horizontal="center" wrapText="1"/>
    </x:xf>
    <x:xf numFmtId="0" fontId="11" fillId="16" borderId="49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50" xfId="0" applyNumberFormat="1" applyFont="1" applyFill="1" applyBorder="1" applyAlignment="1">
      <x:alignment horizontal="center" wrapText="1"/>
    </x:xf>
    <x:xf numFmtId="0" fontId="11" fillId="16" borderId="51" xfId="0" applyNumberFormat="1" applyFont="1" applyFill="1" applyBorder="1" applyAlignment="1">
      <x:alignment horizontal="center" wrapText="1"/>
    </x:xf>
    <x:xf numFmtId="0" fontId="11" fillId="16" borderId="52" xfId="0" applyNumberFormat="1" applyFont="1" applyFill="1" applyBorder="1" applyAlignment="1">
      <x:alignment horizontal="center" wrapText="1"/>
    </x:xf>
    <x:xf numFmtId="0" fontId="11" fillId="16" borderId="53" xfId="0" applyNumberFormat="1" applyFont="1" applyFill="1" applyBorder="1" applyAlignment="1">
      <x:alignment horizontal="center" wrapText="1"/>
    </x:xf>
    <x:xf numFmtId="0" fontId="11" fillId="16" borderId="46" xfId="0" applyNumberFormat="1" applyFont="1" applyFill="1" applyBorder="1" applyAlignment="1">
      <x:alignment horizontal="center" vertical="center" wrapText="1"/>
    </x:xf>
    <x:xf numFmtId="0" fontId="11" fillId="16" borderId="47" xfId="0" applyNumberFormat="1" applyFont="1" applyFill="1" applyBorder="1" applyAlignment="1">
      <x:alignment horizontal="center" vertical="center" wrapText="1"/>
    </x:xf>
    <x:xf numFmtId="0" fontId="11" fillId="16" borderId="48" xfId="0" applyNumberFormat="1" applyFont="1" applyFill="1" applyBorder="1" applyAlignment="1">
      <x:alignment horizontal="center" vertical="center" wrapText="1"/>
    </x:xf>
    <x:xf numFmtId="0" fontId="11" fillId="16" borderId="49" xfId="0" applyNumberFormat="1" applyFont="1" applyFill="1" applyBorder="1" applyAlignment="1">
      <x:alignment horizontal="center" vertic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11" fillId="16" borderId="50" xfId="0" applyNumberFormat="1" applyFont="1" applyFill="1" applyBorder="1" applyAlignment="1">
      <x:alignment horizontal="center" vertical="center" wrapText="1"/>
    </x:xf>
    <x:xf numFmtId="0" fontId="11" fillId="16" borderId="51" xfId="0" applyNumberFormat="1" applyFont="1" applyFill="1" applyBorder="1" applyAlignment="1">
      <x:alignment horizontal="center" vertical="center" wrapText="1"/>
    </x:xf>
    <x:xf numFmtId="0" fontId="11" fillId="16" borderId="52" xfId="0" applyNumberFormat="1" applyFont="1" applyFill="1" applyBorder="1" applyAlignment="1">
      <x:alignment horizontal="center" vertical="center" wrapText="1"/>
    </x:xf>
    <x:xf numFmtId="0" fontId="11" fillId="16" borderId="53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center"/>
    </x:xf>
    <x:xf numFmtId="0" fontId="12" fillId="14" borderId="0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horizontal="center"/>
    </x:xf>
    <x:xf numFmtId="0" fontId="16" fillId="6" borderId="0" xfId="0" applyNumberFormat="1" applyFont="1" applyFill="1" applyBorder="1"/>
    <x:xf numFmtId="0" fontId="16" fillId="6" borderId="54" xfId="0" applyNumberFormat="1" applyFont="1" applyFill="1" applyBorder="1"/>
    <x:xf numFmtId="0" fontId="16" fillId="6" borderId="55" xfId="0" applyNumberFormat="1" applyFont="1" applyFill="1" applyBorder="1"/>
    <x:xf numFmtId="0" fontId="16" fillId="6" borderId="56" xfId="0" applyNumberFormat="1" applyFont="1" applyFill="1" applyBorder="1"/>
    <x:xf numFmtId="0" fontId="16" fillId="6" borderId="57" xfId="0" applyNumberFormat="1" applyFont="1" applyFill="1" applyBorder="1"/>
    <x:xf numFmtId="0" fontId="16" fillId="6" borderId="58" xfId="0" applyNumberFormat="1" applyFont="1" applyFill="1" applyBorder="1"/>
    <x:xf numFmtId="0" fontId="16" fillId="6" borderId="59" xfId="0" applyNumberFormat="1" applyFont="1" applyFill="1" applyBorder="1"/>
    <x:xf numFmtId="0" fontId="16" fillId="6" borderId="60" xfId="0" applyNumberFormat="1" applyFont="1" applyFill="1" applyBorder="1"/>
    <x:xf numFmtId="0" fontId="16" fillId="6" borderId="61" xfId="0" applyNumberFormat="1" applyFont="1" applyFill="1" applyBorder="1"/>
    <x:xf numFmtId="0" fontId="16" fillId="6" borderId="54" xfId="0" applyNumberFormat="1" applyFont="1" applyFill="1" applyBorder="1" applyAlignment="1">
      <x:alignment wrapText="1"/>
    </x:xf>
    <x:xf numFmtId="0" fontId="16" fillId="6" borderId="55" xfId="0" applyNumberFormat="1" applyFont="1" applyFill="1" applyBorder="1" applyAlignment="1">
      <x:alignment wrapText="1"/>
    </x:xf>
    <x:xf numFmtId="0" fontId="16" fillId="6" borderId="56" xfId="0" applyNumberFormat="1" applyFont="1" applyFill="1" applyBorder="1" applyAlignment="1">
      <x:alignment wrapText="1"/>
    </x:xf>
    <x:xf numFmtId="0" fontId="16" fillId="6" borderId="57" xfId="0" applyNumberFormat="1" applyFont="1" applyFill="1" applyBorder="1" applyAlignment="1">
      <x:alignment wrapText="1"/>
    </x:xf>
    <x:xf numFmtId="0" fontId="16" fillId="6" borderId="0" xfId="0" applyNumberFormat="1" applyFont="1" applyFill="1" applyBorder="1" applyAlignment="1">
      <x:alignment wrapText="1"/>
    </x:xf>
    <x:xf numFmtId="0" fontId="16" fillId="6" borderId="58" xfId="0" applyNumberFormat="1" applyFont="1" applyFill="1" applyBorder="1" applyAlignment="1">
      <x:alignment wrapText="1"/>
    </x:xf>
    <x:xf numFmtId="0" fontId="16" fillId="6" borderId="59" xfId="0" applyNumberFormat="1" applyFont="1" applyFill="1" applyBorder="1" applyAlignment="1">
      <x:alignment wrapText="1"/>
    </x:xf>
    <x:xf numFmtId="0" fontId="16" fillId="6" borderId="60" xfId="0" applyNumberFormat="1" applyFont="1" applyFill="1" applyBorder="1" applyAlignment="1">
      <x:alignment wrapText="1"/>
    </x:xf>
    <x:xf numFmtId="0" fontId="16" fillId="6" borderId="61" xfId="0" applyNumberFormat="1" applyFont="1" applyFill="1" applyBorder="1" applyAlignment="1">
      <x:alignment wrapText="1"/>
    </x:xf>
    <x:xf numFmtId="0" fontId="16" fillId="6" borderId="54" xfId="0" applyNumberFormat="1" applyFont="1" applyFill="1" applyBorder="1" applyAlignment="1">
      <x:alignment horizontal="center" wrapText="1"/>
    </x:xf>
    <x:xf numFmtId="0" fontId="16" fillId="6" borderId="55" xfId="0" applyNumberFormat="1" applyFont="1" applyFill="1" applyBorder="1" applyAlignment="1">
      <x:alignment horizontal="center" wrapText="1"/>
    </x:xf>
    <x:xf numFmtId="0" fontId="16" fillId="6" borderId="56" xfId="0" applyNumberFormat="1" applyFont="1" applyFill="1" applyBorder="1" applyAlignment="1">
      <x:alignment horizontal="center" wrapText="1"/>
    </x:xf>
    <x:xf numFmtId="0" fontId="16" fillId="6" borderId="57" xfId="0" applyNumberFormat="1" applyFont="1" applyFill="1" applyBorder="1" applyAlignment="1">
      <x:alignment horizontal="center" wrapText="1"/>
    </x:xf>
    <x:xf numFmtId="0" fontId="16" fillId="6" borderId="0" xfId="0" applyNumberFormat="1" applyFont="1" applyFill="1" applyBorder="1" applyAlignment="1">
      <x:alignment horizontal="center" wrapText="1"/>
    </x:xf>
    <x:xf numFmtId="0" fontId="16" fillId="6" borderId="58" xfId="0" applyNumberFormat="1" applyFont="1" applyFill="1" applyBorder="1" applyAlignment="1">
      <x:alignment horizontal="center" wrapText="1"/>
    </x:xf>
    <x:xf numFmtId="0" fontId="16" fillId="6" borderId="59" xfId="0" applyNumberFormat="1" applyFont="1" applyFill="1" applyBorder="1" applyAlignment="1">
      <x:alignment horizontal="center" wrapText="1"/>
    </x:xf>
    <x:xf numFmtId="0" fontId="16" fillId="6" borderId="60" xfId="0" applyNumberFormat="1" applyFont="1" applyFill="1" applyBorder="1" applyAlignment="1">
      <x:alignment horizontal="center" wrapText="1"/>
    </x:xf>
    <x:xf numFmtId="0" fontId="16" fillId="6" borderId="61" xfId="0" applyNumberFormat="1" applyFont="1" applyFill="1" applyBorder="1" applyAlignment="1">
      <x:alignment horizontal="center" wrapText="1"/>
    </x:xf>
    <x:xf numFmtId="0" fontId="16" fillId="6" borderId="54" xfId="0" applyNumberFormat="1" applyFont="1" applyFill="1" applyBorder="1" applyAlignment="1">
      <x:alignment horizontal="center" vertical="center" wrapText="1"/>
    </x:xf>
    <x:xf numFmtId="0" fontId="16" fillId="6" borderId="55" xfId="0" applyNumberFormat="1" applyFont="1" applyFill="1" applyBorder="1" applyAlignment="1">
      <x:alignment horizontal="center" vertical="center" wrapText="1"/>
    </x:xf>
    <x:xf numFmtId="0" fontId="16" fillId="6" borderId="56" xfId="0" applyNumberFormat="1" applyFont="1" applyFill="1" applyBorder="1" applyAlignment="1">
      <x:alignment horizontal="center" vertical="center" wrapText="1"/>
    </x:xf>
    <x:xf numFmtId="0" fontId="16" fillId="6" borderId="57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6" fillId="6" borderId="58" xfId="0" applyNumberFormat="1" applyFont="1" applyFill="1" applyBorder="1" applyAlignment="1">
      <x:alignment horizontal="center" vertical="center" wrapText="1"/>
    </x:xf>
    <x:xf numFmtId="0" fontId="16" fillId="6" borderId="59" xfId="0" applyNumberFormat="1" applyFont="1" applyFill="1" applyBorder="1" applyAlignment="1">
      <x:alignment horizontal="center" vertical="center" wrapText="1"/>
    </x:xf>
    <x:xf numFmtId="0" fontId="16" fillId="6" borderId="60" xfId="0" applyNumberFormat="1" applyFont="1" applyFill="1" applyBorder="1" applyAlignment="1">
      <x:alignment horizontal="center" vertical="center" wrapText="1"/>
    </x:xf>
    <x:xf numFmtId="0" fontId="16" fillId="6" borderId="6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475569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28972676e4ecf" /><Relationship Type="http://schemas.openxmlformats.org/officeDocument/2006/relationships/theme" Target="/xl/theme/theme1.xml" Id="Ra703aa3e938b47f5" /><Relationship Type="http://schemas.openxmlformats.org/officeDocument/2006/relationships/sharedStrings" Target="/xl/sharedStrings.xml" Id="R2489e7159a704bcf" /><Relationship Type="http://schemas.openxmlformats.org/officeDocument/2006/relationships/worksheet" Target="/xl/worksheets/sheet1.xml" Id="R0e1dd1b864a84f2e" /><Relationship Type="http://schemas.openxmlformats.org/officeDocument/2006/relationships/worksheet" Target="/xl/worksheets/sheet2.xml" Id="R3e78d99d4169443e" /><Relationship Type="http://schemas.openxmlformats.org/officeDocument/2006/relationships/worksheet" Target="/xl/worksheets/sheet3.xml" Id="Rcaeefb906f1c4187" /><Relationship Type="http://schemas.openxmlformats.org/officeDocument/2006/relationships/worksheet" Target="/xl/worksheets/sheet4.xml" Id="R153c8ff02bb941d8" /><Relationship Type="http://schemas.openxmlformats.org/officeDocument/2006/relationships/worksheet" Target="/xl/worksheets/sheet5.xml" Id="R1c61397c7cd449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c5b1f3c3a046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by Pipeline Stage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'Dashboard'!$A$10:$A$18</c:f>
              <c:strCache>
                <c:ptCount val="0"/>
              </c:strCache>
            </c:strRef>
          </c:cat>
          <c:val>
            <c:numRef>
              <c:f>'Dashboard'!$B$10:$B$18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5b1f3c3a046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LeadsTracker" displayName="LeadsTracker" ref="A5:AB505" headerRowCount="1" totalsRowCount="0" totalsRowShown="0">
  <x:autoFilter ref="A5:AB505"/>
  <x:tableColumns count="28">
    <x:tableColumn id="1" name="Lead ID"/>
    <x:tableColumn id="2" name="Date Added"/>
    <x:tableColumn id="3" name="Contact Name"/>
    <x:tableColumn id="4" name="Organization"/>
    <x:tableColumn id="5" name="Phone"/>
    <x:tableColumn id="6" name="WhatsApp"/>
    <x:tableColumn id="7" name="Email"/>
    <x:tableColumn id="8" name="City"/>
    <x:tableColumn id="9" name="Lead Source"/>
    <x:tableColumn id="10" name="Owner"/>
    <x:tableColumn id="11" name="Status"/>
    <x:tableColumn id="12" name="Interested?"/>
    <x:tableColumn id="13" name="Stage"/>
    <x:tableColumn id="14" name="Priority"/>
    <x:tableColumn id="15" name="Lead Score"/>
    <x:tableColumn id="16" name="Last Contact"/>
    <x:tableColumn id="17" name="Next Follow-Up"/>
    <x:tableColumn id="18" name="Follow-Up Status"/>
    <x:tableColumn id="19" name="Days Since Contact"/>
    <x:tableColumn id="20" name="Preferred Contact"/>
    <x:tableColumn id="21" name="Next Action"/>
    <x:tableColumn id="22" name="Last Message / Summary"/>
    <x:tableColumn id="23" name="Potential Value (JOD)"/>
    <x:tableColumn id="24" name="Win Probability"/>
    <x:tableColumn id="25" name="Weighted Value (JOD)"/>
    <x:tableColumn id="26" name="Activity Count"/>
    <x:tableColumn id="27" name="Closed Date"/>
    <x:tableColumn id="2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eadActivityLog" displayName="LeadActivityLog" ref="A5:M1005" headerRowCount="1" totalsRowCount="0" totalsRowShown="0">
  <x:autoFilter ref="A5:M1005"/>
  <x:tableColumns count="13">
    <x:tableColumn id="1" name="Activity ID"/>
    <x:tableColumn id="2" name="Date &amp; Time"/>
    <x:tableColumn id="3" name="Lead ID"/>
    <x:tableColumn id="4" name="Contact Name"/>
    <x:tableColumn id="5" name="Channel"/>
    <x:tableColumn id="6" name="Direction"/>
    <x:tableColumn id="7" name="Summary / Message"/>
    <x:tableColumn id="8" name="Outcome"/>
    <x:tableColumn id="9" name="Next Follow-Up"/>
    <x:tableColumn id="10" name="Follow-Up Completed?"/>
    <x:tableColumn id="11" name="Owner"/>
    <x:tableColumn id="12" name="Link / Attachment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cf74d4afa44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592d00da234e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22f1d053e941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8" customHeight="1">
      <x:c r="A1" s="3" t="str">
        <x:v>Lead &amp; Follow-Up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f>"Live summary as of "&amp;TEXT(TODAY(),"dd mmm yyyy")&amp;" — update the Leads and Activity Log sheets; this page updates automatically."</x:f>
        <x:v>Live summary as of 19 Aug 2026 — update the Leads and Activity Log sheets; this page updates automatically.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88" t="str">
        <x:v>TOTAL LEADS</x:v>
      </x:c>
      <x:c r="B4" s="89"/>
      <x:c r="C4" s="110" t="str">
        <x:v>ACTIVE LEADS</x:v>
      </x:c>
      <x:c r="D4" s="111"/>
      <x:c r="E4" s="130" t="str">
        <x:v>INTERESTED</x:v>
      </x:c>
      <x:c r="F4" s="131"/>
      <x:c r="G4" s="150" t="str">
        <x:v>OVERDUE</x:v>
      </x:c>
      <x:c r="H4" s="151"/>
      <x:c r="I4" s="170" t="str">
        <x:v>DUE TODAY</x:v>
      </x:c>
      <x:c r="J4" s="171"/>
      <x:c r="K4" s="190" t="str">
        <x:v>WON</x:v>
      </x:c>
      <x:c r="L4" s="191"/>
    </x:row>
    <x:row r="5">
      <x:c r="A5" s="100" t="n">
        <x:f>COUNTIF('Leads'!$C$6:$C$505,"&lt;&gt;")</x:f>
        <x:v>0</x:v>
      </x:c>
      <x:c r="B5" s="101"/>
      <x:c r="C5" s="120" t="n">
        <x:f>COUNTIFS('Leads'!$C$6:$C$505,"&lt;&gt;",'Leads'!$K$6:$K$505,"&lt;&gt;Won",'Leads'!$K$6:$K$505,"&lt;&gt;Lost",'Leads'!$K$6:$K$505,"&lt;&gt;Disqualified")</x:f>
        <x:v>0</x:v>
      </x:c>
      <x:c r="D5" s="121"/>
      <x:c r="E5" s="140" t="n">
        <x:f>COUNTIFS('Leads'!$C$6:$C$505,"&lt;&gt;",'Leads'!$L$6:$L$505,"Yes")</x:f>
        <x:v>0</x:v>
      </x:c>
      <x:c r="F5" s="141"/>
      <x:c r="G5" s="160" t="n">
        <x:f>COUNTIF('Leads'!$R$6:$R$505,"Overdue")</x:f>
        <x:v>0</x:v>
      </x:c>
      <x:c r="H5" s="161"/>
      <x:c r="I5" s="180" t="n">
        <x:f>COUNTIF('Leads'!$R$6:$R$505,"Today")</x:f>
        <x:v>0</x:v>
      </x:c>
      <x:c r="J5" s="181"/>
      <x:c r="K5" s="200" t="n">
        <x:f>COUNTIF('Leads'!$K$6:$K$505,"Won")</x:f>
        <x:v>0</x:v>
      </x:c>
      <x:c r="L5" s="201"/>
    </x:row>
    <x:row r="6">
      <x:c r="A6" s="102"/>
      <x:c r="B6" s="103"/>
      <x:c r="C6" s="122"/>
      <x:c r="D6" s="123"/>
      <x:c r="E6" s="142"/>
      <x:c r="F6" s="143"/>
      <x:c r="G6" s="162"/>
      <x:c r="H6" s="163"/>
      <x:c r="I6" s="182"/>
      <x:c r="J6" s="183"/>
      <x:c r="K6" s="202"/>
      <x:c r="L6" s="203"/>
    </x:row>
    <x:row r="8">
      <x:c r="A8" s="9" t="str">
        <x:v>Pipeline Overview</x:v>
      </x:c>
      <x:c r="B8" s="9"/>
      <x:c r="C8" s="9"/>
      <x:c r="D8" s="9"/>
    </x:row>
    <x:row r="9">
      <x:c r="A9" s="206" t="str">
        <x:v>Stage</x:v>
      </x:c>
      <x:c r="B9" s="206" t="str">
        <x:v>Leads</x:v>
      </x:c>
      <x:c r="C9" s="206" t="str">
        <x:v>Potential JOD</x:v>
      </x:c>
      <x:c r="D9" s="206" t="str">
        <x:v>Weighted JOD</x:v>
      </x:c>
    </x:row>
    <x:row r="10">
      <x:c r="A10" s="207" t="str">
        <x:v>New</x:v>
      </x:c>
      <x:c r="B10" s="209" t="n">
        <x:f>COUNTIF('Leads'!$M$6:$M$505,$A10)</x:f>
        <x:v>0</x:v>
      </x:c>
      <x:c r="C10" s="209" t="n">
        <x:f>SUMIF('Leads'!$M$6:$M$505,$A10,'Leads'!$W$6:$W$505)</x:f>
        <x:v>0</x:v>
      </x:c>
      <x:c r="D10" s="209" t="n">
        <x:f>SUMIF('Leads'!$M$6:$M$505,$A10,'Leads'!$Y$6:$Y$505)</x:f>
        <x:v>0</x:v>
      </x:c>
    </x:row>
    <x:row r="11">
      <x:c r="A11" s="207" t="str">
        <x:v>Attempting Contact</x:v>
      </x:c>
      <x:c r="B11" s="209" t="n">
        <x:f>COUNTIF('Leads'!$M$6:$M$505,$A11)</x:f>
        <x:v>0</x:v>
      </x:c>
      <x:c r="C11" s="209" t="n">
        <x:f>SUMIF('Leads'!$M$6:$M$505,$A11,'Leads'!$W$6:$W$505)</x:f>
        <x:v>0</x:v>
      </x:c>
      <x:c r="D11" s="209" t="n">
        <x:f>SUMIF('Leads'!$M$6:$M$505,$A11,'Leads'!$Y$6:$Y$505)</x:f>
        <x:v>0</x:v>
      </x:c>
    </x:row>
    <x:row r="12">
      <x:c r="A12" s="207" t="str">
        <x:v>Contacted</x:v>
      </x:c>
      <x:c r="B12" s="209" t="n">
        <x:f>COUNTIF('Leads'!$M$6:$M$505,$A12)</x:f>
        <x:v>0</x:v>
      </x:c>
      <x:c r="C12" s="209" t="n">
        <x:f>SUMIF('Leads'!$M$6:$M$505,$A12,'Leads'!$W$6:$W$505)</x:f>
        <x:v>0</x:v>
      </x:c>
      <x:c r="D12" s="209" t="n">
        <x:f>SUMIF('Leads'!$M$6:$M$505,$A12,'Leads'!$Y$6:$Y$505)</x:f>
        <x:v>0</x:v>
      </x:c>
    </x:row>
    <x:row r="13">
      <x:c r="A13" s="207" t="str">
        <x:v>Qualified</x:v>
      </x:c>
      <x:c r="B13" s="209" t="n">
        <x:f>COUNTIF('Leads'!$M$6:$M$505,$A13)</x:f>
        <x:v>0</x:v>
      </x:c>
      <x:c r="C13" s="209" t="n">
        <x:f>SUMIF('Leads'!$M$6:$M$505,$A13,'Leads'!$W$6:$W$505)</x:f>
        <x:v>0</x:v>
      </x:c>
      <x:c r="D13" s="209" t="n">
        <x:f>SUMIF('Leads'!$M$6:$M$505,$A13,'Leads'!$Y$6:$Y$505)</x:f>
        <x:v>0</x:v>
      </x:c>
    </x:row>
    <x:row r="14">
      <x:c r="A14" s="207" t="str">
        <x:v>Demo Scheduled</x:v>
      </x:c>
      <x:c r="B14" s="209" t="n">
        <x:f>COUNTIF('Leads'!$M$6:$M$505,$A14)</x:f>
        <x:v>0</x:v>
      </x:c>
      <x:c r="C14" s="209" t="n">
        <x:f>SUMIF('Leads'!$M$6:$M$505,$A14,'Leads'!$W$6:$W$505)</x:f>
        <x:v>0</x:v>
      </x:c>
      <x:c r="D14" s="209" t="n">
        <x:f>SUMIF('Leads'!$M$6:$M$505,$A14,'Leads'!$Y$6:$Y$505)</x:f>
        <x:v>0</x:v>
      </x:c>
    </x:row>
    <x:row r="15">
      <x:c r="A15" s="207" t="str">
        <x:v>Proposal Sent</x:v>
      </x:c>
      <x:c r="B15" s="209" t="n">
        <x:f>COUNTIF('Leads'!$M$6:$M$505,$A15)</x:f>
        <x:v>0</x:v>
      </x:c>
      <x:c r="C15" s="209" t="n">
        <x:f>SUMIF('Leads'!$M$6:$M$505,$A15,'Leads'!$W$6:$W$505)</x:f>
        <x:v>0</x:v>
      </x:c>
      <x:c r="D15" s="209" t="n">
        <x:f>SUMIF('Leads'!$M$6:$M$505,$A15,'Leads'!$Y$6:$Y$505)</x:f>
        <x:v>0</x:v>
      </x:c>
    </x:row>
    <x:row r="16">
      <x:c r="A16" s="207" t="str">
        <x:v>Negotiation</x:v>
      </x:c>
      <x:c r="B16" s="209" t="n">
        <x:f>COUNTIF('Leads'!$M$6:$M$505,$A16)</x:f>
        <x:v>0</x:v>
      </x:c>
      <x:c r="C16" s="209" t="n">
        <x:f>SUMIF('Leads'!$M$6:$M$505,$A16,'Leads'!$W$6:$W$505)</x:f>
        <x:v>0</x:v>
      </x:c>
      <x:c r="D16" s="209" t="n">
        <x:f>SUMIF('Leads'!$M$6:$M$505,$A16,'Leads'!$Y$6:$Y$505)</x:f>
        <x:v>0</x:v>
      </x:c>
    </x:row>
    <x:row r="17">
      <x:c r="A17" s="207" t="str">
        <x:v>Won</x:v>
      </x:c>
      <x:c r="B17" s="209" t="n">
        <x:f>COUNTIF('Leads'!$M$6:$M$505,$A17)</x:f>
        <x:v>0</x:v>
      </x:c>
      <x:c r="C17" s="209" t="n">
        <x:f>SUMIF('Leads'!$M$6:$M$505,$A17,'Leads'!$W$6:$W$505)</x:f>
        <x:v>0</x:v>
      </x:c>
      <x:c r="D17" s="209" t="n">
        <x:f>SUMIF('Leads'!$M$6:$M$505,$A17,'Leads'!$Y$6:$Y$505)</x:f>
        <x:v>0</x:v>
      </x:c>
    </x:row>
    <x:row r="18">
      <x:c r="A18" s="208" t="str">
        <x:v>Lost</x:v>
      </x:c>
      <x:c r="B18" s="210" t="n">
        <x:f>COUNTIF('Leads'!$M$6:$M$505,$A18)</x:f>
        <x:v>0</x:v>
      </x:c>
      <x:c r="C18" s="210" t="n">
        <x:f>SUMIF('Leads'!$M$6:$M$505,$A18,'Leads'!$W$6:$W$505)</x:f>
        <x:v>0</x:v>
      </x:c>
      <x:c r="D18" s="210" t="n">
        <x:f>SUMIF('Leads'!$M$6:$M$505,$A18,'Leads'!$Y$6:$Y$505)</x:f>
        <x:v>0</x:v>
      </x:c>
    </x:row>
    <x:row r="21">
      <x:c r="A21" s="9" t="str">
        <x:v>Follow-Up Workload</x:v>
      </x:c>
      <x:c r="B21" s="9"/>
      <x:c r="D21" s="9" t="str">
        <x:v>Interest</x:v>
      </x:c>
      <x:c r="E21" s="9"/>
    </x:row>
    <x:row r="22">
      <x:c r="A22" s="206" t="str">
        <x:v>Follow-Up Status</x:v>
      </x:c>
      <x:c r="B22" s="206" t="str">
        <x:v>Leads</x:v>
      </x:c>
      <x:c r="D22" s="206" t="str">
        <x:v>Response</x:v>
      </x:c>
      <x:c r="E22" s="206" t="str">
        <x:v>Leads</x:v>
      </x:c>
    </x:row>
    <x:row r="23">
      <x:c r="A23" s="207" t="str">
        <x:v>Overdue</x:v>
      </x:c>
      <x:c r="B23" s="209" t="n">
        <x:f>COUNTIF('Leads'!$R$6:$R$505,$A23)</x:f>
        <x:v>0</x:v>
      </x:c>
      <x:c r="D23" s="207" t="str">
        <x:v>Yes</x:v>
      </x:c>
      <x:c r="E23" s="207" t="n">
        <x:f>COUNTIF('Leads'!$L$6:$L$505,$D23)</x:f>
        <x:v>0</x:v>
      </x:c>
    </x:row>
    <x:row r="24">
      <x:c r="A24" s="207" t="str">
        <x:v>Today</x:v>
      </x:c>
      <x:c r="B24" s="209" t="n">
        <x:f>COUNTIF('Leads'!$R$6:$R$505,$A24)</x:f>
        <x:v>0</x:v>
      </x:c>
      <x:c r="D24" s="207" t="str">
        <x:v>Maybe</x:v>
      </x:c>
      <x:c r="E24" s="207" t="n">
        <x:f>COUNTIF('Leads'!$L$6:$L$505,$D24)</x:f>
        <x:v>0</x:v>
      </x:c>
    </x:row>
    <x:row r="25">
      <x:c r="A25" s="207" t="str">
        <x:v>Next 7 days</x:v>
      </x:c>
      <x:c r="B25" s="209" t="n">
        <x:f>COUNTIF('Leads'!$R$6:$R$505,$A25)</x:f>
        <x:v>0</x:v>
      </x:c>
      <x:c r="D25" s="207" t="str">
        <x:v>No</x:v>
      </x:c>
      <x:c r="E25" s="207" t="n">
        <x:f>COUNTIF('Leads'!$L$6:$L$505,$D25)</x:f>
        <x:v>0</x:v>
      </x:c>
    </x:row>
    <x:row r="26">
      <x:c r="A26" s="207" t="str">
        <x:v>Later</x:v>
      </x:c>
      <x:c r="B26" s="209" t="n">
        <x:f>COUNTIF('Leads'!$R$6:$R$505,$A26)</x:f>
        <x:v>0</x:v>
      </x:c>
      <x:c r="D26" s="208" t="str">
        <x:v>Unknown</x:v>
      </x:c>
      <x:c r="E26" s="208" t="n">
        <x:f>COUNTIF('Leads'!$L$6:$L$505,$D26)</x:f>
        <x:v>0</x:v>
      </x:c>
    </x:row>
    <x:row r="27">
      <x:c r="A27" s="207" t="str">
        <x:v>No date</x:v>
      </x:c>
      <x:c r="B27" s="209" t="n">
        <x:f>COUNTIF('Leads'!$R$6:$R$505,$A27)</x:f>
        <x:v>0</x:v>
      </x:c>
    </x:row>
    <x:row r="28">
      <x:c r="A28" s="208" t="str">
        <x:v>Closed</x:v>
      </x:c>
      <x:c r="B28" s="210" t="n">
        <x:f>COUNTIF('Leads'!$R$6:$R$505,$A28)</x:f>
        <x:v>0</x:v>
      </x:c>
    </x:row>
    <x:row r="31">
      <x:c r="A31" s="9" t="str">
        <x:v>Lead Sources</x:v>
      </x:c>
      <x:c r="B31" s="9"/>
      <x:c r="D31" s="9" t="str">
        <x:v>Daily Routine</x:v>
      </x:c>
      <x:c r="E31" s="9"/>
      <x:c r="F31" s="9"/>
      <x:c r="G31" s="9"/>
      <x:c r="H31" s="9"/>
      <x:c r="I31" s="9"/>
      <x:c r="J31" s="9"/>
      <x:c r="K31" s="9"/>
      <x:c r="L31" s="9"/>
      <x:c r="M31" s="9"/>
    </x:row>
    <x:row r="32">
      <x:c r="A32" s="206" t="str">
        <x:v>Source</x:v>
      </x:c>
      <x:c r="B32" s="206" t="str">
        <x:v>Leads</x:v>
      </x:c>
      <x:c r="D32" s="229" t="str">
        <x:v>1. Open Dashboard and check Overdue + Due Today.
2. Filter Leads by Follow-Up Status and contact those people first.
3. Add every message or call to Activity Log.
4. Enter the next follow-up date before leaving the activity row.
5. Mark completed follow-ups Yes and add the new interaction.</x:v>
      </x:c>
      <x:c r="E32" s="230"/>
      <x:c r="F32" s="230"/>
      <x:c r="G32" s="230"/>
      <x:c r="H32" s="230"/>
      <x:c r="I32" s="230"/>
      <x:c r="J32" s="230"/>
      <x:c r="K32" s="230"/>
      <x:c r="L32" s="230"/>
      <x:c r="M32" s="231"/>
    </x:row>
    <x:row r="33">
      <x:c r="A33" s="207" t="str">
        <x:v>Referral</x:v>
      </x:c>
      <x:c r="B33" s="207" t="n">
        <x:f>COUNTIF('Leads'!$I$6:$I$505,$A33)</x:f>
        <x:v>0</x:v>
      </x:c>
      <x:c r="D33" s="232"/>
      <x:c r="E33" s="233"/>
      <x:c r="F33" s="233"/>
      <x:c r="G33" s="233"/>
      <x:c r="H33" s="233"/>
      <x:c r="I33" s="233"/>
      <x:c r="J33" s="233"/>
      <x:c r="K33" s="233"/>
      <x:c r="L33" s="233"/>
      <x:c r="M33" s="234"/>
    </x:row>
    <x:row r="34">
      <x:c r="A34" s="207" t="str">
        <x:v>WhatsApp</x:v>
      </x:c>
      <x:c r="B34" s="207" t="n">
        <x:f>COUNTIF('Leads'!$I$6:$I$505,$A34)</x:f>
        <x:v>0</x:v>
      </x:c>
      <x:c r="D34" s="232"/>
      <x:c r="E34" s="233"/>
      <x:c r="F34" s="233"/>
      <x:c r="G34" s="233"/>
      <x:c r="H34" s="233"/>
      <x:c r="I34" s="233"/>
      <x:c r="J34" s="233"/>
      <x:c r="K34" s="233"/>
      <x:c r="L34" s="233"/>
      <x:c r="M34" s="234"/>
    </x:row>
    <x:row r="35">
      <x:c r="A35" s="207" t="str">
        <x:v>Phone</x:v>
      </x:c>
      <x:c r="B35" s="207" t="n">
        <x:f>COUNTIF('Leads'!$I$6:$I$505,$A35)</x:f>
        <x:v>0</x:v>
      </x:c>
      <x:c r="D35" s="232"/>
      <x:c r="E35" s="233"/>
      <x:c r="F35" s="233"/>
      <x:c r="G35" s="233"/>
      <x:c r="H35" s="233"/>
      <x:c r="I35" s="233"/>
      <x:c r="J35" s="233"/>
      <x:c r="K35" s="233"/>
      <x:c r="L35" s="233"/>
      <x:c r="M35" s="234"/>
    </x:row>
    <x:row r="36">
      <x:c r="A36" s="207" t="str">
        <x:v>Website</x:v>
      </x:c>
      <x:c r="B36" s="207" t="n">
        <x:f>COUNTIF('Leads'!$I$6:$I$505,$A36)</x:f>
        <x:v>0</x:v>
      </x:c>
      <x:c r="D36" s="232"/>
      <x:c r="E36" s="233"/>
      <x:c r="F36" s="233"/>
      <x:c r="G36" s="233"/>
      <x:c r="H36" s="233"/>
      <x:c r="I36" s="233"/>
      <x:c r="J36" s="233"/>
      <x:c r="K36" s="233"/>
      <x:c r="L36" s="233"/>
      <x:c r="M36" s="234"/>
    </x:row>
    <x:row r="37">
      <x:c r="A37" s="207" t="str">
        <x:v>Instagram</x:v>
      </x:c>
      <x:c r="B37" s="207" t="n">
        <x:f>COUNTIF('Leads'!$I$6:$I$505,$A37)</x:f>
        <x:v>0</x:v>
      </x:c>
      <x:c r="D37" s="232"/>
      <x:c r="E37" s="233"/>
      <x:c r="F37" s="233"/>
      <x:c r="G37" s="233"/>
      <x:c r="H37" s="233"/>
      <x:c r="I37" s="233"/>
      <x:c r="J37" s="233"/>
      <x:c r="K37" s="233"/>
      <x:c r="L37" s="233"/>
      <x:c r="M37" s="234"/>
    </x:row>
    <x:row r="38">
      <x:c r="A38" s="207" t="str">
        <x:v>Facebook</x:v>
      </x:c>
      <x:c r="B38" s="207" t="n">
        <x:f>COUNTIF('Leads'!$I$6:$I$505,$A38)</x:f>
        <x:v>0</x:v>
      </x:c>
      <x:c r="D38" s="235"/>
      <x:c r="E38" s="236"/>
      <x:c r="F38" s="236"/>
      <x:c r="G38" s="236"/>
      <x:c r="H38" s="236"/>
      <x:c r="I38" s="236"/>
      <x:c r="J38" s="236"/>
      <x:c r="K38" s="236"/>
      <x:c r="L38" s="236"/>
      <x:c r="M38" s="237"/>
    </x:row>
    <x:row r="39">
      <x:c r="A39" s="207" t="str">
        <x:v>LinkedIn</x:v>
      </x:c>
      <x:c r="B39" s="207" t="n">
        <x:f>COUNTIF('Leads'!$I$6:$I$505,$A39)</x:f>
        <x:v>0</x:v>
      </x:c>
    </x:row>
    <x:row r="40">
      <x:c r="A40" s="207" t="str">
        <x:v>Event</x:v>
      </x:c>
      <x:c r="B40" s="207" t="n">
        <x:f>COUNTIF('Leads'!$I$6:$I$505,$A40)</x:f>
        <x:v>0</x:v>
      </x:c>
      <x:c r="D40" s="266" t="str">
        <x:f>IF($G$5&gt;0,"ACTION REQUIRED: "&amp;$G$5&amp;" overdue follow-up(s). Filter the Leads sheet by Follow-Up Status = Overdue.",IF($I$5&gt;0,"TODAY: "&amp;$I$5&amp;" follow-up(s) are due.","You are caught up — no overdue or due-today follow-ups."))</x:f>
        <x:v>You are caught up — no overdue or due-today follow-ups.</x:v>
      </x:c>
      <x:c r="E40" s="267"/>
      <x:c r="F40" s="267"/>
      <x:c r="G40" s="267"/>
      <x:c r="H40" s="267"/>
      <x:c r="I40" s="267"/>
      <x:c r="J40" s="267"/>
      <x:c r="K40" s="267"/>
      <x:c r="L40" s="267"/>
      <x:c r="M40" s="268"/>
    </x:row>
    <x:row r="41">
      <x:c r="A41" s="207" t="str">
        <x:v>Walk-in</x:v>
      </x:c>
      <x:c r="B41" s="207" t="n">
        <x:f>COUNTIF('Leads'!$I$6:$I$505,$A41)</x:f>
        <x:v>0</x:v>
      </x:c>
      <x:c r="D41" s="269"/>
      <x:c r="E41" s="270"/>
      <x:c r="F41" s="270"/>
      <x:c r="G41" s="270"/>
      <x:c r="H41" s="270"/>
      <x:c r="I41" s="270"/>
      <x:c r="J41" s="270"/>
      <x:c r="K41" s="270"/>
      <x:c r="L41" s="270"/>
      <x:c r="M41" s="271"/>
    </x:row>
    <x:row r="42">
      <x:c r="A42" s="208" t="str">
        <x:v>Other</x:v>
      </x:c>
      <x:c r="B42" s="208" t="n">
        <x:f>COUNTIF('Leads'!$I$6:$I$505,$A42)</x:f>
        <x:v>0</x:v>
      </x:c>
      <x:c r="D42" s="272"/>
      <x:c r="E42" s="273"/>
      <x:c r="F42" s="273"/>
      <x:c r="G42" s="273"/>
      <x:c r="H42" s="273"/>
      <x:c r="I42" s="273"/>
      <x:c r="J42" s="273"/>
      <x:c r="K42" s="273"/>
      <x:c r="L42" s="273"/>
      <x:c r="M42" s="274"/>
    </x:row>
  </x:sheetData>
  <x:mergeCells>
    <x:mergeCell ref="A1:M1"/>
    <x:mergeCell ref="A2:M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D8"/>
    <x:mergeCell ref="A21:B21"/>
    <x:mergeCell ref="D21:E21"/>
    <x:mergeCell ref="A31:B31"/>
    <x:mergeCell ref="D31:M31"/>
    <x:mergeCell ref="D32:M38"/>
    <x:mergeCell ref="D40:M42"/>
  </x:mergeCells>
  <x:conditionalFormatting sqref="A23:B23">
    <x:cfRule type="cellIs" dxfId="13" priority="1" operator="greaterThan">
      <x:formula>0</x:formula>
    </x:cfRule>
  </x:conditionalFormatting>
  <x:conditionalFormatting sqref="D40:M42">
    <x:cfRule type="expression" dxfId="14" priority="2">
      <x:formula>$G$5&gt;0</x:formula>
    </x:cfRule>
    <x:cfRule type="expression" dxfId="15" priority="3">
      <x:formula>AND($G$5=0,$I$5&gt;0)</x:formula>
    </x:cfRule>
  </x:conditionalFormatting>
  <x:pageMargins left="0.7" right="0.7" top="0.75" bottom="0.75" header="0.3" footer="0.3"/>
  <x:drawing xmlns:r="http://schemas.openxmlformats.org/officeDocument/2006/relationships" r:id="Rce8cf74d4afa44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27" hidden="0" customWidth="1"/>
    <x:col min="8" max="8" width="14" hidden="0" customWidth="1"/>
    <x:col min="9" max="9" width="16" hidden="0" customWidth="1"/>
    <x:col min="10" max="10" width="15" hidden="0" customWidth="1"/>
    <x:col min="11" max="11" width="15" hidden="0" customWidth="1"/>
    <x:col min="12" max="12" width="13" hidden="0" customWidth="1"/>
    <x:col min="13" max="13" width="20" hidden="0" customWidth="1"/>
    <x:col min="14" max="14" width="12" hidden="0" customWidth="1"/>
    <x:col min="15" max="15" width="12" hidden="0" customWidth="1"/>
    <x:col min="16" max="16" width="18" hidden="0" customWidth="1"/>
    <x:col min="17" max="17" width="18" hidden="0" customWidth="1"/>
    <x:col min="18" max="18" width="17" hidden="0" customWidth="1"/>
    <x:col min="19" max="19" width="16" hidden="0" customWidth="1"/>
    <x:col min="20" max="20" width="17" hidden="0" customWidth="1"/>
    <x:col min="21" max="21" width="24" hidden="0" customWidth="1"/>
    <x:col min="22" max="22" width="38" hidden="0" customWidth="1"/>
    <x:col min="23" max="23" width="20" hidden="0" customWidth="1"/>
    <x:col min="24" max="24" width="16" hidden="0" customWidth="1"/>
    <x:col min="25" max="25" width="20" hidden="0" customWidth="1"/>
    <x:col min="26" max="26" width="15" hidden="0" customWidth="1"/>
    <x:col min="27" max="27" width="14" hidden="0" customWidth="1"/>
    <x:col min="28" max="28" width="34" hidden="0" customWidth="1"/>
  </x:cols>
  <x:sheetData>
    <x:row r="1" ht="34" customHeight="1">
      <x:c r="A1" s="3" t="str">
        <x:v>Lead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4" customHeight="1">
      <x:c r="A2" s="6" t="str">
        <x:v>Add each lead once, then use Activity Log for every message. Filters and formulas keep the next action visible.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</x:row>
    <x:row r="3">
      <x:c r="A3" s="66" t="str">
        <x:v>Yellow = enter or choose data  |  Blue = calculated automatically  |  Start each day by filtering Follow-Up Status for Overdue and Today.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  <x:c r="Y3" s="66"/>
      <x:c r="Z3" s="66"/>
      <x:c r="AA3" s="66"/>
      <x:c r="AB3" s="66"/>
    </x:row>
    <x:row r="5" ht="38" customHeight="1">
      <x:c r="A5" s="9" t="str">
        <x:v>Lead ID</x:v>
      </x:c>
      <x:c r="B5" s="9" t="str">
        <x:v>Date Added</x:v>
      </x:c>
      <x:c r="C5" s="9" t="str">
        <x:v>Contact Name</x:v>
      </x:c>
      <x:c r="D5" s="9" t="str">
        <x:v>Organization</x:v>
      </x:c>
      <x:c r="E5" s="9" t="str">
        <x:v>Phone</x:v>
      </x:c>
      <x:c r="F5" s="9" t="str">
        <x:v>WhatsApp</x:v>
      </x:c>
      <x:c r="G5" s="9" t="str">
        <x:v>Email</x:v>
      </x:c>
      <x:c r="H5" s="9" t="str">
        <x:v>City</x:v>
      </x:c>
      <x:c r="I5" s="9" t="str">
        <x:v>Lead Source</x:v>
      </x:c>
      <x:c r="J5" s="9" t="str">
        <x:v>Owner</x:v>
      </x:c>
      <x:c r="K5" s="9" t="str">
        <x:v>Status</x:v>
      </x:c>
      <x:c r="L5" s="9" t="str">
        <x:v>Interested?</x:v>
      </x:c>
      <x:c r="M5" s="9" t="str">
        <x:v>Stage</x:v>
      </x:c>
      <x:c r="N5" s="9" t="str">
        <x:v>Priority</x:v>
      </x:c>
      <x:c r="O5" s="9" t="str">
        <x:v>Lead Score</x:v>
      </x:c>
      <x:c r="P5" s="9" t="str">
        <x:v>Last Contact</x:v>
      </x:c>
      <x:c r="Q5" s="9" t="str">
        <x:v>Next Follow-Up</x:v>
      </x:c>
      <x:c r="R5" s="9" t="str">
        <x:v>Follow-Up Status</x:v>
      </x:c>
      <x:c r="S5" s="9" t="str">
        <x:v>Days Since Contact</x:v>
      </x:c>
      <x:c r="T5" s="9" t="str">
        <x:v>Preferred Contact</x:v>
      </x:c>
      <x:c r="U5" s="9" t="str">
        <x:v>Next Action</x:v>
      </x:c>
      <x:c r="V5" s="9" t="str">
        <x:v>Last Message / Summary</x:v>
      </x:c>
      <x:c r="W5" s="9" t="str">
        <x:v>Potential Value (JOD)</x:v>
      </x:c>
      <x:c r="X5" s="9" t="str">
        <x:v>Win Probability</x:v>
      </x:c>
      <x:c r="Y5" s="9" t="str">
        <x:v>Weighted Value (JOD)</x:v>
      </x:c>
      <x:c r="Z5" s="9" t="str">
        <x:v>Activity Count</x:v>
      </x:c>
      <x:c r="AA5" s="9" t="str">
        <x:v>Closed Date</x:v>
      </x:c>
      <x:c r="AB5" s="9" t="str">
        <x:v>Notes</x:v>
      </x:c>
    </x:row>
    <x:row r="6">
      <x:c r="A6" s="53"/>
      <x:c r="B6" s="67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6" t="str">
        <x:f>IF($C6="","",MAX(0,MIN(100,IFERROR(VLOOKUP($L6,'Lists &amp; Rules'!$P$5:$Q$8,2,FALSE),0)+IFERROR(VLOOKUP($N6,'Lists &amp; Rules'!$S$5:$T$7,2,FALSE),0)+IFERROR(VLOOKUP($M6,'Lists &amp; Rules'!$L$5:$N$13,3,FALSE),0)+IF($R6="Overdue",-10,IF($R6="Today",5,0))+MIN(15,$Z6*3))))</x:f>
      </x:c>
      <x:c r="P6" s="70" t="str">
        <x:f>IF($A6="","",IF(COUNTIF('Activity Log'!$C$6:$C$1005,$A6)=0,"",MAXIFS('Activity Log'!$B$6:$B$1005,'Activity Log'!$C$6:$C$1005,$A6)))</x:f>
      </x:c>
      <x:c r="Q6" s="70" t="str">
        <x:f>IF($A6="","",IF(COUNTIFS('Activity Log'!$C$6:$C$1005,$A6,'Activity Log'!$J$6:$J$1005,"No",'Activity Log'!$I$6:$I$1005,"&gt;0")=0,"",MINIFS('Activity Log'!$I$6:$I$1005,'Activity Log'!$C$6:$C$1005,$A6,'Activity Log'!$J$6:$J$1005,"No",'Activity Log'!$I$6:$I$1005,"&gt;0")))</x:f>
      </x:c>
      <x:c r="R6" s="56" t="str">
        <x:f>IF($C6="","",IF(OR($K6="Won",$K6="Lost",$K6="Disqualified"),"Closed",IF($Q6="","No date",IF(INT($Q6)&lt;TODAY(),"Overdue",IF(INT($Q6)=TODAY(),"Today",IF(INT($Q6)&lt;=TODAY()+7,"Next 7 days","Later"))))))</x:f>
      </x:c>
      <x:c r="S6" s="56" t="str">
        <x:f>IF(OR($C6="",$P6=""),"",TODAY()-INT($P6))</x:f>
      </x:c>
      <x:c r="T6" s="53"/>
      <x:c r="U6" s="53"/>
      <x:c r="V6" s="62"/>
      <x:c r="W6" s="73"/>
      <x:c r="X6" s="76" t="str">
        <x:f>IF($C6="","",IFERROR(VLOOKUP($M6,'Lists &amp; Rules'!$L$5:$N$13,2,FALSE),0))</x:f>
      </x:c>
      <x:c r="Y6" s="79" t="str">
        <x:f>IF(OR($C6="",$W6=""),"",ROUND($W6*$X6,0))</x:f>
      </x:c>
      <x:c r="Z6" s="56" t="str">
        <x:f>IF($A6="","",COUNTIF('Activity Log'!$C$6:$C$1005,$A6))</x:f>
      </x:c>
      <x:c r="AA6" s="67"/>
      <x:c r="AB6" s="62"/>
    </x:row>
    <x:row r="7">
      <x:c r="A7" s="54"/>
      <x:c r="B7" s="68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7" t="str">
        <x:f>IF($C7="","",MAX(0,MIN(100,IFERROR(VLOOKUP($L7,'Lists &amp; Rules'!$P$5:$Q$8,2,FALSE),0)+IFERROR(VLOOKUP($N7,'Lists &amp; Rules'!$S$5:$T$7,2,FALSE),0)+IFERROR(VLOOKUP($M7,'Lists &amp; Rules'!$L$5:$N$13,3,FALSE),0)+IF($R7="Overdue",-10,IF($R7="Today",5,0))+MIN(15,$Z7*3))))</x:f>
      </x:c>
      <x:c r="P7" s="71" t="str">
        <x:f>IF($A7="","",IF(COUNTIF('Activity Log'!$C$6:$C$1005,$A7)=0,"",MAXIFS('Activity Log'!$B$6:$B$1005,'Activity Log'!$C$6:$C$1005,$A7)))</x:f>
      </x:c>
      <x:c r="Q7" s="71" t="str">
        <x:f>IF($A7="","",IF(COUNTIFS('Activity Log'!$C$6:$C$1005,$A7,'Activity Log'!$J$6:$J$1005,"No",'Activity Log'!$I$6:$I$1005,"&gt;0")=0,"",MINIFS('Activity Log'!$I$6:$I$1005,'Activity Log'!$C$6:$C$1005,$A7,'Activity Log'!$J$6:$J$1005,"No",'Activity Log'!$I$6:$I$1005,"&gt;0")))</x:f>
      </x:c>
      <x:c r="R7" s="57" t="str">
        <x:f>IF($C7="","",IF(OR($K7="Won",$K7="Lost",$K7="Disqualified"),"Closed",IF($Q7="","No date",IF(INT($Q7)&lt;TODAY(),"Overdue",IF(INT($Q7)=TODAY(),"Today",IF(INT($Q7)&lt;=TODAY()+7,"Next 7 days","Later"))))))</x:f>
      </x:c>
      <x:c r="S7" s="57" t="str">
        <x:f>IF(OR($C7="",$P7=""),"",TODAY()-INT($P7))</x:f>
      </x:c>
      <x:c r="T7" s="54"/>
      <x:c r="U7" s="54"/>
      <x:c r="V7" s="63"/>
      <x:c r="W7" s="74"/>
      <x:c r="X7" s="77" t="str">
        <x:f>IF($C7="","",IFERROR(VLOOKUP($M7,'Lists &amp; Rules'!$L$5:$N$13,2,FALSE),0))</x:f>
      </x:c>
      <x:c r="Y7" s="80" t="str">
        <x:f>IF(OR($C7="",$W7=""),"",ROUND($W7*$X7,0))</x:f>
      </x:c>
      <x:c r="Z7" s="57" t="str">
        <x:f>IF($A7="","",COUNTIF('Activity Log'!$C$6:$C$1005,$A7))</x:f>
      </x:c>
      <x:c r="AA7" s="68"/>
      <x:c r="AB7" s="63"/>
    </x:row>
    <x:row r="8">
      <x:c r="A8" s="54"/>
      <x:c r="B8" s="68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7" t="str">
        <x:f>IF($C8="","",MAX(0,MIN(100,IFERROR(VLOOKUP($L8,'Lists &amp; Rules'!$P$5:$Q$8,2,FALSE),0)+IFERROR(VLOOKUP($N8,'Lists &amp; Rules'!$S$5:$T$7,2,FALSE),0)+IFERROR(VLOOKUP($M8,'Lists &amp; Rules'!$L$5:$N$13,3,FALSE),0)+IF($R8="Overdue",-10,IF($R8="Today",5,0))+MIN(15,$Z8*3))))</x:f>
      </x:c>
      <x:c r="P8" s="71" t="str">
        <x:f>IF($A8="","",IF(COUNTIF('Activity Log'!$C$6:$C$1005,$A8)=0,"",MAXIFS('Activity Log'!$B$6:$B$1005,'Activity Log'!$C$6:$C$1005,$A8)))</x:f>
      </x:c>
      <x:c r="Q8" s="71" t="str">
        <x:f>IF($A8="","",IF(COUNTIFS('Activity Log'!$C$6:$C$1005,$A8,'Activity Log'!$J$6:$J$1005,"No",'Activity Log'!$I$6:$I$1005,"&gt;0")=0,"",MINIFS('Activity Log'!$I$6:$I$1005,'Activity Log'!$C$6:$C$1005,$A8,'Activity Log'!$J$6:$J$1005,"No",'Activity Log'!$I$6:$I$1005,"&gt;0")))</x:f>
      </x:c>
      <x:c r="R8" s="57" t="str">
        <x:f>IF($C8="","",IF(OR($K8="Won",$K8="Lost",$K8="Disqualified"),"Closed",IF($Q8="","No date",IF(INT($Q8)&lt;TODAY(),"Overdue",IF(INT($Q8)=TODAY(),"Today",IF(INT($Q8)&lt;=TODAY()+7,"Next 7 days","Later"))))))</x:f>
      </x:c>
      <x:c r="S8" s="57" t="str">
        <x:f>IF(OR($C8="",$P8=""),"",TODAY()-INT($P8))</x:f>
      </x:c>
      <x:c r="T8" s="54"/>
      <x:c r="U8" s="54"/>
      <x:c r="V8" s="63"/>
      <x:c r="W8" s="74"/>
      <x:c r="X8" s="77" t="str">
        <x:f>IF($C8="","",IFERROR(VLOOKUP($M8,'Lists &amp; Rules'!$L$5:$N$13,2,FALSE),0))</x:f>
      </x:c>
      <x:c r="Y8" s="80" t="str">
        <x:f>IF(OR($C8="",$W8=""),"",ROUND($W8*$X8,0))</x:f>
      </x:c>
      <x:c r="Z8" s="57" t="str">
        <x:f>IF($A8="","",COUNTIF('Activity Log'!$C$6:$C$1005,$A8))</x:f>
      </x:c>
      <x:c r="AA8" s="68"/>
      <x:c r="AB8" s="63"/>
    </x:row>
    <x:row r="9">
      <x:c r="A9" s="54"/>
      <x:c r="B9" s="68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7" t="str">
        <x:f>IF($C9="","",MAX(0,MIN(100,IFERROR(VLOOKUP($L9,'Lists &amp; Rules'!$P$5:$Q$8,2,FALSE),0)+IFERROR(VLOOKUP($N9,'Lists &amp; Rules'!$S$5:$T$7,2,FALSE),0)+IFERROR(VLOOKUP($M9,'Lists &amp; Rules'!$L$5:$N$13,3,FALSE),0)+IF($R9="Overdue",-10,IF($R9="Today",5,0))+MIN(15,$Z9*3))))</x:f>
      </x:c>
      <x:c r="P9" s="71" t="str">
        <x:f>IF($A9="","",IF(COUNTIF('Activity Log'!$C$6:$C$1005,$A9)=0,"",MAXIFS('Activity Log'!$B$6:$B$1005,'Activity Log'!$C$6:$C$1005,$A9)))</x:f>
      </x:c>
      <x:c r="Q9" s="71" t="str">
        <x:f>IF($A9="","",IF(COUNTIFS('Activity Log'!$C$6:$C$1005,$A9,'Activity Log'!$J$6:$J$1005,"No",'Activity Log'!$I$6:$I$1005,"&gt;0")=0,"",MINIFS('Activity Log'!$I$6:$I$1005,'Activity Log'!$C$6:$C$1005,$A9,'Activity Log'!$J$6:$J$1005,"No",'Activity Log'!$I$6:$I$1005,"&gt;0")))</x:f>
      </x:c>
      <x:c r="R9" s="57" t="str">
        <x:f>IF($C9="","",IF(OR($K9="Won",$K9="Lost",$K9="Disqualified"),"Closed",IF($Q9="","No date",IF(INT($Q9)&lt;TODAY(),"Overdue",IF(INT($Q9)=TODAY(),"Today",IF(INT($Q9)&lt;=TODAY()+7,"Next 7 days","Later"))))))</x:f>
      </x:c>
      <x:c r="S9" s="57" t="str">
        <x:f>IF(OR($C9="",$P9=""),"",TODAY()-INT($P9))</x:f>
      </x:c>
      <x:c r="T9" s="54"/>
      <x:c r="U9" s="54"/>
      <x:c r="V9" s="63"/>
      <x:c r="W9" s="74"/>
      <x:c r="X9" s="77" t="str">
        <x:f>IF($C9="","",IFERROR(VLOOKUP($M9,'Lists &amp; Rules'!$L$5:$N$13,2,FALSE),0))</x:f>
      </x:c>
      <x:c r="Y9" s="80" t="str">
        <x:f>IF(OR($C9="",$W9=""),"",ROUND($W9*$X9,0))</x:f>
      </x:c>
      <x:c r="Z9" s="57" t="str">
        <x:f>IF($A9="","",COUNTIF('Activity Log'!$C$6:$C$1005,$A9))</x:f>
      </x:c>
      <x:c r="AA9" s="68"/>
      <x:c r="AB9" s="63"/>
    </x:row>
    <x:row r="10">
      <x:c r="A10" s="54"/>
      <x:c r="B10" s="68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7" t="str">
        <x:f>IF($C10="","",MAX(0,MIN(100,IFERROR(VLOOKUP($L10,'Lists &amp; Rules'!$P$5:$Q$8,2,FALSE),0)+IFERROR(VLOOKUP($N10,'Lists &amp; Rules'!$S$5:$T$7,2,FALSE),0)+IFERROR(VLOOKUP($M10,'Lists &amp; Rules'!$L$5:$N$13,3,FALSE),0)+IF($R10="Overdue",-10,IF($R10="Today",5,0))+MIN(15,$Z10*3))))</x:f>
      </x:c>
      <x:c r="P10" s="71" t="str">
        <x:f>IF($A10="","",IF(COUNTIF('Activity Log'!$C$6:$C$1005,$A10)=0,"",MAXIFS('Activity Log'!$B$6:$B$1005,'Activity Log'!$C$6:$C$1005,$A10)))</x:f>
      </x:c>
      <x:c r="Q10" s="71" t="str">
        <x:f>IF($A10="","",IF(COUNTIFS('Activity Log'!$C$6:$C$1005,$A10,'Activity Log'!$J$6:$J$1005,"No",'Activity Log'!$I$6:$I$1005,"&gt;0")=0,"",MINIFS('Activity Log'!$I$6:$I$1005,'Activity Log'!$C$6:$C$1005,$A10,'Activity Log'!$J$6:$J$1005,"No",'Activity Log'!$I$6:$I$1005,"&gt;0")))</x:f>
      </x:c>
      <x:c r="R10" s="57" t="str">
        <x:f>IF($C10="","",IF(OR($K10="Won",$K10="Lost",$K10="Disqualified"),"Closed",IF($Q10="","No date",IF(INT($Q10)&lt;TODAY(),"Overdue",IF(INT($Q10)=TODAY(),"Today",IF(INT($Q10)&lt;=TODAY()+7,"Next 7 days","Later"))))))</x:f>
      </x:c>
      <x:c r="S10" s="57" t="str">
        <x:f>IF(OR($C10="",$P10=""),"",TODAY()-INT($P10))</x:f>
      </x:c>
      <x:c r="T10" s="54"/>
      <x:c r="U10" s="54"/>
      <x:c r="V10" s="63"/>
      <x:c r="W10" s="74"/>
      <x:c r="X10" s="77" t="str">
        <x:f>IF($C10="","",IFERROR(VLOOKUP($M10,'Lists &amp; Rules'!$L$5:$N$13,2,FALSE),0))</x:f>
      </x:c>
      <x:c r="Y10" s="80" t="str">
        <x:f>IF(OR($C10="",$W10=""),"",ROUND($W10*$X10,0))</x:f>
      </x:c>
      <x:c r="Z10" s="57" t="str">
        <x:f>IF($A10="","",COUNTIF('Activity Log'!$C$6:$C$1005,$A10))</x:f>
      </x:c>
      <x:c r="AA10" s="68"/>
      <x:c r="AB10" s="63"/>
    </x:row>
    <x:row r="11">
      <x:c r="A11" s="54"/>
      <x:c r="B11" s="68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7" t="str">
        <x:f>IF($C11="","",MAX(0,MIN(100,IFERROR(VLOOKUP($L11,'Lists &amp; Rules'!$P$5:$Q$8,2,FALSE),0)+IFERROR(VLOOKUP($N11,'Lists &amp; Rules'!$S$5:$T$7,2,FALSE),0)+IFERROR(VLOOKUP($M11,'Lists &amp; Rules'!$L$5:$N$13,3,FALSE),0)+IF($R11="Overdue",-10,IF($R11="Today",5,0))+MIN(15,$Z11*3))))</x:f>
      </x:c>
      <x:c r="P11" s="71" t="str">
        <x:f>IF($A11="","",IF(COUNTIF('Activity Log'!$C$6:$C$1005,$A11)=0,"",MAXIFS('Activity Log'!$B$6:$B$1005,'Activity Log'!$C$6:$C$1005,$A11)))</x:f>
      </x:c>
      <x:c r="Q11" s="71" t="str">
        <x:f>IF($A11="","",IF(COUNTIFS('Activity Log'!$C$6:$C$1005,$A11,'Activity Log'!$J$6:$J$1005,"No",'Activity Log'!$I$6:$I$1005,"&gt;0")=0,"",MINIFS('Activity Log'!$I$6:$I$1005,'Activity Log'!$C$6:$C$1005,$A11,'Activity Log'!$J$6:$J$1005,"No",'Activity Log'!$I$6:$I$1005,"&gt;0")))</x:f>
      </x:c>
      <x:c r="R11" s="57" t="str">
        <x:f>IF($C11="","",IF(OR($K11="Won",$K11="Lost",$K11="Disqualified"),"Closed",IF($Q11="","No date",IF(INT($Q11)&lt;TODAY(),"Overdue",IF(INT($Q11)=TODAY(),"Today",IF(INT($Q11)&lt;=TODAY()+7,"Next 7 days","Later"))))))</x:f>
      </x:c>
      <x:c r="S11" s="57" t="str">
        <x:f>IF(OR($C11="",$P11=""),"",TODAY()-INT($P11))</x:f>
      </x:c>
      <x:c r="T11" s="54"/>
      <x:c r="U11" s="54"/>
      <x:c r="V11" s="63"/>
      <x:c r="W11" s="74"/>
      <x:c r="X11" s="77" t="str">
        <x:f>IF($C11="","",IFERROR(VLOOKUP($M11,'Lists &amp; Rules'!$L$5:$N$13,2,FALSE),0))</x:f>
      </x:c>
      <x:c r="Y11" s="80" t="str">
        <x:f>IF(OR($C11="",$W11=""),"",ROUND($W11*$X11,0))</x:f>
      </x:c>
      <x:c r="Z11" s="57" t="str">
        <x:f>IF($A11="","",COUNTIF('Activity Log'!$C$6:$C$1005,$A11))</x:f>
      </x:c>
      <x:c r="AA11" s="68"/>
      <x:c r="AB11" s="63"/>
    </x:row>
    <x:row r="12">
      <x:c r="A12" s="54"/>
      <x:c r="B12" s="68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7" t="str">
        <x:f>IF($C12="","",MAX(0,MIN(100,IFERROR(VLOOKUP($L12,'Lists &amp; Rules'!$P$5:$Q$8,2,FALSE),0)+IFERROR(VLOOKUP($N12,'Lists &amp; Rules'!$S$5:$T$7,2,FALSE),0)+IFERROR(VLOOKUP($M12,'Lists &amp; Rules'!$L$5:$N$13,3,FALSE),0)+IF($R12="Overdue",-10,IF($R12="Today",5,0))+MIN(15,$Z12*3))))</x:f>
      </x:c>
      <x:c r="P12" s="71" t="str">
        <x:f>IF($A12="","",IF(COUNTIF('Activity Log'!$C$6:$C$1005,$A12)=0,"",MAXIFS('Activity Log'!$B$6:$B$1005,'Activity Log'!$C$6:$C$1005,$A12)))</x:f>
      </x:c>
      <x:c r="Q12" s="71" t="str">
        <x:f>IF($A12="","",IF(COUNTIFS('Activity Log'!$C$6:$C$1005,$A12,'Activity Log'!$J$6:$J$1005,"No",'Activity Log'!$I$6:$I$1005,"&gt;0")=0,"",MINIFS('Activity Log'!$I$6:$I$1005,'Activity Log'!$C$6:$C$1005,$A12,'Activity Log'!$J$6:$J$1005,"No",'Activity Log'!$I$6:$I$1005,"&gt;0")))</x:f>
      </x:c>
      <x:c r="R12" s="57" t="str">
        <x:f>IF($C12="","",IF(OR($K12="Won",$K12="Lost",$K12="Disqualified"),"Closed",IF($Q12="","No date",IF(INT($Q12)&lt;TODAY(),"Overdue",IF(INT($Q12)=TODAY(),"Today",IF(INT($Q12)&lt;=TODAY()+7,"Next 7 days","Later"))))))</x:f>
      </x:c>
      <x:c r="S12" s="57" t="str">
        <x:f>IF(OR($C12="",$P12=""),"",TODAY()-INT($P12))</x:f>
      </x:c>
      <x:c r="T12" s="54"/>
      <x:c r="U12" s="54"/>
      <x:c r="V12" s="63"/>
      <x:c r="W12" s="74"/>
      <x:c r="X12" s="77" t="str">
        <x:f>IF($C12="","",IFERROR(VLOOKUP($M12,'Lists &amp; Rules'!$L$5:$N$13,2,FALSE),0))</x:f>
      </x:c>
      <x:c r="Y12" s="80" t="str">
        <x:f>IF(OR($C12="",$W12=""),"",ROUND($W12*$X12,0))</x:f>
      </x:c>
      <x:c r="Z12" s="57" t="str">
        <x:f>IF($A12="","",COUNTIF('Activity Log'!$C$6:$C$1005,$A12))</x:f>
      </x:c>
      <x:c r="AA12" s="68"/>
      <x:c r="AB12" s="63"/>
    </x:row>
    <x:row r="13">
      <x:c r="A13" s="54"/>
      <x:c r="B13" s="68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7" t="str">
        <x:f>IF($C13="","",MAX(0,MIN(100,IFERROR(VLOOKUP($L13,'Lists &amp; Rules'!$P$5:$Q$8,2,FALSE),0)+IFERROR(VLOOKUP($N13,'Lists &amp; Rules'!$S$5:$T$7,2,FALSE),0)+IFERROR(VLOOKUP($M13,'Lists &amp; Rules'!$L$5:$N$13,3,FALSE),0)+IF($R13="Overdue",-10,IF($R13="Today",5,0))+MIN(15,$Z13*3))))</x:f>
      </x:c>
      <x:c r="P13" s="71" t="str">
        <x:f>IF($A13="","",IF(COUNTIF('Activity Log'!$C$6:$C$1005,$A13)=0,"",MAXIFS('Activity Log'!$B$6:$B$1005,'Activity Log'!$C$6:$C$1005,$A13)))</x:f>
      </x:c>
      <x:c r="Q13" s="71" t="str">
        <x:f>IF($A13="","",IF(COUNTIFS('Activity Log'!$C$6:$C$1005,$A13,'Activity Log'!$J$6:$J$1005,"No",'Activity Log'!$I$6:$I$1005,"&gt;0")=0,"",MINIFS('Activity Log'!$I$6:$I$1005,'Activity Log'!$C$6:$C$1005,$A13,'Activity Log'!$J$6:$J$1005,"No",'Activity Log'!$I$6:$I$1005,"&gt;0")))</x:f>
      </x:c>
      <x:c r="R13" s="57" t="str">
        <x:f>IF($C13="","",IF(OR($K13="Won",$K13="Lost",$K13="Disqualified"),"Closed",IF($Q13="","No date",IF(INT($Q13)&lt;TODAY(),"Overdue",IF(INT($Q13)=TODAY(),"Today",IF(INT($Q13)&lt;=TODAY()+7,"Next 7 days","Later"))))))</x:f>
      </x:c>
      <x:c r="S13" s="57" t="str">
        <x:f>IF(OR($C13="",$P13=""),"",TODAY()-INT($P13))</x:f>
      </x:c>
      <x:c r="T13" s="54"/>
      <x:c r="U13" s="54"/>
      <x:c r="V13" s="63"/>
      <x:c r="W13" s="74"/>
      <x:c r="X13" s="77" t="str">
        <x:f>IF($C13="","",IFERROR(VLOOKUP($M13,'Lists &amp; Rules'!$L$5:$N$13,2,FALSE),0))</x:f>
      </x:c>
      <x:c r="Y13" s="80" t="str">
        <x:f>IF(OR($C13="",$W13=""),"",ROUND($W13*$X13,0))</x:f>
      </x:c>
      <x:c r="Z13" s="57" t="str">
        <x:f>IF($A13="","",COUNTIF('Activity Log'!$C$6:$C$1005,$A13))</x:f>
      </x:c>
      <x:c r="AA13" s="68"/>
      <x:c r="AB13" s="63"/>
    </x:row>
    <x:row r="14">
      <x:c r="A14" s="54"/>
      <x:c r="B14" s="68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7" t="str">
        <x:f>IF($C14="","",MAX(0,MIN(100,IFERROR(VLOOKUP($L14,'Lists &amp; Rules'!$P$5:$Q$8,2,FALSE),0)+IFERROR(VLOOKUP($N14,'Lists &amp; Rules'!$S$5:$T$7,2,FALSE),0)+IFERROR(VLOOKUP($M14,'Lists &amp; Rules'!$L$5:$N$13,3,FALSE),0)+IF($R14="Overdue",-10,IF($R14="Today",5,0))+MIN(15,$Z14*3))))</x:f>
      </x:c>
      <x:c r="P14" s="71" t="str">
        <x:f>IF($A14="","",IF(COUNTIF('Activity Log'!$C$6:$C$1005,$A14)=0,"",MAXIFS('Activity Log'!$B$6:$B$1005,'Activity Log'!$C$6:$C$1005,$A14)))</x:f>
      </x:c>
      <x:c r="Q14" s="71" t="str">
        <x:f>IF($A14="","",IF(COUNTIFS('Activity Log'!$C$6:$C$1005,$A14,'Activity Log'!$J$6:$J$1005,"No",'Activity Log'!$I$6:$I$1005,"&gt;0")=0,"",MINIFS('Activity Log'!$I$6:$I$1005,'Activity Log'!$C$6:$C$1005,$A14,'Activity Log'!$J$6:$J$1005,"No",'Activity Log'!$I$6:$I$1005,"&gt;0")))</x:f>
      </x:c>
      <x:c r="R14" s="57" t="str">
        <x:f>IF($C14="","",IF(OR($K14="Won",$K14="Lost",$K14="Disqualified"),"Closed",IF($Q14="","No date",IF(INT($Q14)&lt;TODAY(),"Overdue",IF(INT($Q14)=TODAY(),"Today",IF(INT($Q14)&lt;=TODAY()+7,"Next 7 days","Later"))))))</x:f>
      </x:c>
      <x:c r="S14" s="57" t="str">
        <x:f>IF(OR($C14="",$P14=""),"",TODAY()-INT($P14))</x:f>
      </x:c>
      <x:c r="T14" s="54"/>
      <x:c r="U14" s="54"/>
      <x:c r="V14" s="63"/>
      <x:c r="W14" s="74"/>
      <x:c r="X14" s="77" t="str">
        <x:f>IF($C14="","",IFERROR(VLOOKUP($M14,'Lists &amp; Rules'!$L$5:$N$13,2,FALSE),0))</x:f>
      </x:c>
      <x:c r="Y14" s="80" t="str">
        <x:f>IF(OR($C14="",$W14=""),"",ROUND($W14*$X14,0))</x:f>
      </x:c>
      <x:c r="Z14" s="57" t="str">
        <x:f>IF($A14="","",COUNTIF('Activity Log'!$C$6:$C$1005,$A14))</x:f>
      </x:c>
      <x:c r="AA14" s="68"/>
      <x:c r="AB14" s="63"/>
    </x:row>
    <x:row r="15">
      <x:c r="A15" s="54"/>
      <x:c r="B15" s="68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7" t="str">
        <x:f>IF($C15="","",MAX(0,MIN(100,IFERROR(VLOOKUP($L15,'Lists &amp; Rules'!$P$5:$Q$8,2,FALSE),0)+IFERROR(VLOOKUP($N15,'Lists &amp; Rules'!$S$5:$T$7,2,FALSE),0)+IFERROR(VLOOKUP($M15,'Lists &amp; Rules'!$L$5:$N$13,3,FALSE),0)+IF($R15="Overdue",-10,IF($R15="Today",5,0))+MIN(15,$Z15*3))))</x:f>
      </x:c>
      <x:c r="P15" s="71" t="str">
        <x:f>IF($A15="","",IF(COUNTIF('Activity Log'!$C$6:$C$1005,$A15)=0,"",MAXIFS('Activity Log'!$B$6:$B$1005,'Activity Log'!$C$6:$C$1005,$A15)))</x:f>
      </x:c>
      <x:c r="Q15" s="71" t="str">
        <x:f>IF($A15="","",IF(COUNTIFS('Activity Log'!$C$6:$C$1005,$A15,'Activity Log'!$J$6:$J$1005,"No",'Activity Log'!$I$6:$I$1005,"&gt;0")=0,"",MINIFS('Activity Log'!$I$6:$I$1005,'Activity Log'!$C$6:$C$1005,$A15,'Activity Log'!$J$6:$J$1005,"No",'Activity Log'!$I$6:$I$1005,"&gt;0")))</x:f>
      </x:c>
      <x:c r="R15" s="57" t="str">
        <x:f>IF($C15="","",IF(OR($K15="Won",$K15="Lost",$K15="Disqualified"),"Closed",IF($Q15="","No date",IF(INT($Q15)&lt;TODAY(),"Overdue",IF(INT($Q15)=TODAY(),"Today",IF(INT($Q15)&lt;=TODAY()+7,"Next 7 days","Later"))))))</x:f>
      </x:c>
      <x:c r="S15" s="57" t="str">
        <x:f>IF(OR($C15="",$P15=""),"",TODAY()-INT($P15))</x:f>
      </x:c>
      <x:c r="T15" s="54"/>
      <x:c r="U15" s="54"/>
      <x:c r="V15" s="63"/>
      <x:c r="W15" s="74"/>
      <x:c r="X15" s="77" t="str">
        <x:f>IF($C15="","",IFERROR(VLOOKUP($M15,'Lists &amp; Rules'!$L$5:$N$13,2,FALSE),0))</x:f>
      </x:c>
      <x:c r="Y15" s="80" t="str">
        <x:f>IF(OR($C15="",$W15=""),"",ROUND($W15*$X15,0))</x:f>
      </x:c>
      <x:c r="Z15" s="57" t="str">
        <x:f>IF($A15="","",COUNTIF('Activity Log'!$C$6:$C$1005,$A15))</x:f>
      </x:c>
      <x:c r="AA15" s="68"/>
      <x:c r="AB15" s="63"/>
    </x:row>
    <x:row r="16">
      <x:c r="A16" s="54"/>
      <x:c r="B16" s="68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7" t="str">
        <x:f>IF($C16="","",MAX(0,MIN(100,IFERROR(VLOOKUP($L16,'Lists &amp; Rules'!$P$5:$Q$8,2,FALSE),0)+IFERROR(VLOOKUP($N16,'Lists &amp; Rules'!$S$5:$T$7,2,FALSE),0)+IFERROR(VLOOKUP($M16,'Lists &amp; Rules'!$L$5:$N$13,3,FALSE),0)+IF($R16="Overdue",-10,IF($R16="Today",5,0))+MIN(15,$Z16*3))))</x:f>
      </x:c>
      <x:c r="P16" s="71" t="str">
        <x:f>IF($A16="","",IF(COUNTIF('Activity Log'!$C$6:$C$1005,$A16)=0,"",MAXIFS('Activity Log'!$B$6:$B$1005,'Activity Log'!$C$6:$C$1005,$A16)))</x:f>
      </x:c>
      <x:c r="Q16" s="71" t="str">
        <x:f>IF($A16="","",IF(COUNTIFS('Activity Log'!$C$6:$C$1005,$A16,'Activity Log'!$J$6:$J$1005,"No",'Activity Log'!$I$6:$I$1005,"&gt;0")=0,"",MINIFS('Activity Log'!$I$6:$I$1005,'Activity Log'!$C$6:$C$1005,$A16,'Activity Log'!$J$6:$J$1005,"No",'Activity Log'!$I$6:$I$1005,"&gt;0")))</x:f>
      </x:c>
      <x:c r="R16" s="57" t="str">
        <x:f>IF($C16="","",IF(OR($K16="Won",$K16="Lost",$K16="Disqualified"),"Closed",IF($Q16="","No date",IF(INT($Q16)&lt;TODAY(),"Overdue",IF(INT($Q16)=TODAY(),"Today",IF(INT($Q16)&lt;=TODAY()+7,"Next 7 days","Later"))))))</x:f>
      </x:c>
      <x:c r="S16" s="57" t="str">
        <x:f>IF(OR($C16="",$P16=""),"",TODAY()-INT($P16))</x:f>
      </x:c>
      <x:c r="T16" s="54"/>
      <x:c r="U16" s="54"/>
      <x:c r="V16" s="63"/>
      <x:c r="W16" s="74"/>
      <x:c r="X16" s="77" t="str">
        <x:f>IF($C16="","",IFERROR(VLOOKUP($M16,'Lists &amp; Rules'!$L$5:$N$13,2,FALSE),0))</x:f>
      </x:c>
      <x:c r="Y16" s="80" t="str">
        <x:f>IF(OR($C16="",$W16=""),"",ROUND($W16*$X16,0))</x:f>
      </x:c>
      <x:c r="Z16" s="57" t="str">
        <x:f>IF($A16="","",COUNTIF('Activity Log'!$C$6:$C$1005,$A16))</x:f>
      </x:c>
      <x:c r="AA16" s="68"/>
      <x:c r="AB16" s="63"/>
    </x:row>
    <x:row r="17">
      <x:c r="A17" s="54"/>
      <x:c r="B17" s="68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7" t="str">
        <x:f>IF($C17="","",MAX(0,MIN(100,IFERROR(VLOOKUP($L17,'Lists &amp; Rules'!$P$5:$Q$8,2,FALSE),0)+IFERROR(VLOOKUP($N17,'Lists &amp; Rules'!$S$5:$T$7,2,FALSE),0)+IFERROR(VLOOKUP($M17,'Lists &amp; Rules'!$L$5:$N$13,3,FALSE),0)+IF($R17="Overdue",-10,IF($R17="Today",5,0))+MIN(15,$Z17*3))))</x:f>
      </x:c>
      <x:c r="P17" s="71" t="str">
        <x:f>IF($A17="","",IF(COUNTIF('Activity Log'!$C$6:$C$1005,$A17)=0,"",MAXIFS('Activity Log'!$B$6:$B$1005,'Activity Log'!$C$6:$C$1005,$A17)))</x:f>
      </x:c>
      <x:c r="Q17" s="71" t="str">
        <x:f>IF($A17="","",IF(COUNTIFS('Activity Log'!$C$6:$C$1005,$A17,'Activity Log'!$J$6:$J$1005,"No",'Activity Log'!$I$6:$I$1005,"&gt;0")=0,"",MINIFS('Activity Log'!$I$6:$I$1005,'Activity Log'!$C$6:$C$1005,$A17,'Activity Log'!$J$6:$J$1005,"No",'Activity Log'!$I$6:$I$1005,"&gt;0")))</x:f>
      </x:c>
      <x:c r="R17" s="57" t="str">
        <x:f>IF($C17="","",IF(OR($K17="Won",$K17="Lost",$K17="Disqualified"),"Closed",IF($Q17="","No date",IF(INT($Q17)&lt;TODAY(),"Overdue",IF(INT($Q17)=TODAY(),"Today",IF(INT($Q17)&lt;=TODAY()+7,"Next 7 days","Later"))))))</x:f>
      </x:c>
      <x:c r="S17" s="57" t="str">
        <x:f>IF(OR($C17="",$P17=""),"",TODAY()-INT($P17))</x:f>
      </x:c>
      <x:c r="T17" s="54"/>
      <x:c r="U17" s="54"/>
      <x:c r="V17" s="63"/>
      <x:c r="W17" s="74"/>
      <x:c r="X17" s="77" t="str">
        <x:f>IF($C17="","",IFERROR(VLOOKUP($M17,'Lists &amp; Rules'!$L$5:$N$13,2,FALSE),0))</x:f>
      </x:c>
      <x:c r="Y17" s="80" t="str">
        <x:f>IF(OR($C17="",$W17=""),"",ROUND($W17*$X17,0))</x:f>
      </x:c>
      <x:c r="Z17" s="57" t="str">
        <x:f>IF($A17="","",COUNTIF('Activity Log'!$C$6:$C$1005,$A17))</x:f>
      </x:c>
      <x:c r="AA17" s="68"/>
      <x:c r="AB17" s="63"/>
    </x:row>
    <x:row r="18">
      <x:c r="A18" s="54"/>
      <x:c r="B18" s="68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7" t="str">
        <x:f>IF($C18="","",MAX(0,MIN(100,IFERROR(VLOOKUP($L18,'Lists &amp; Rules'!$P$5:$Q$8,2,FALSE),0)+IFERROR(VLOOKUP($N18,'Lists &amp; Rules'!$S$5:$T$7,2,FALSE),0)+IFERROR(VLOOKUP($M18,'Lists &amp; Rules'!$L$5:$N$13,3,FALSE),0)+IF($R18="Overdue",-10,IF($R18="Today",5,0))+MIN(15,$Z18*3))))</x:f>
      </x:c>
      <x:c r="P18" s="71" t="str">
        <x:f>IF($A18="","",IF(COUNTIF('Activity Log'!$C$6:$C$1005,$A18)=0,"",MAXIFS('Activity Log'!$B$6:$B$1005,'Activity Log'!$C$6:$C$1005,$A18)))</x:f>
      </x:c>
      <x:c r="Q18" s="71" t="str">
        <x:f>IF($A18="","",IF(COUNTIFS('Activity Log'!$C$6:$C$1005,$A18,'Activity Log'!$J$6:$J$1005,"No",'Activity Log'!$I$6:$I$1005,"&gt;0")=0,"",MINIFS('Activity Log'!$I$6:$I$1005,'Activity Log'!$C$6:$C$1005,$A18,'Activity Log'!$J$6:$J$1005,"No",'Activity Log'!$I$6:$I$1005,"&gt;0")))</x:f>
      </x:c>
      <x:c r="R18" s="57" t="str">
        <x:f>IF($C18="","",IF(OR($K18="Won",$K18="Lost",$K18="Disqualified"),"Closed",IF($Q18="","No date",IF(INT($Q18)&lt;TODAY(),"Overdue",IF(INT($Q18)=TODAY(),"Today",IF(INT($Q18)&lt;=TODAY()+7,"Next 7 days","Later"))))))</x:f>
      </x:c>
      <x:c r="S18" s="57" t="str">
        <x:f>IF(OR($C18="",$P18=""),"",TODAY()-INT($P18))</x:f>
      </x:c>
      <x:c r="T18" s="54"/>
      <x:c r="U18" s="54"/>
      <x:c r="V18" s="63"/>
      <x:c r="W18" s="74"/>
      <x:c r="X18" s="77" t="str">
        <x:f>IF($C18="","",IFERROR(VLOOKUP($M18,'Lists &amp; Rules'!$L$5:$N$13,2,FALSE),0))</x:f>
      </x:c>
      <x:c r="Y18" s="80" t="str">
        <x:f>IF(OR($C18="",$W18=""),"",ROUND($W18*$X18,0))</x:f>
      </x:c>
      <x:c r="Z18" s="57" t="str">
        <x:f>IF($A18="","",COUNTIF('Activity Log'!$C$6:$C$1005,$A18))</x:f>
      </x:c>
      <x:c r="AA18" s="68"/>
      <x:c r="AB18" s="63"/>
    </x:row>
    <x:row r="19">
      <x:c r="A19" s="54"/>
      <x:c r="B19" s="68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7" t="str">
        <x:f>IF($C19="","",MAX(0,MIN(100,IFERROR(VLOOKUP($L19,'Lists &amp; Rules'!$P$5:$Q$8,2,FALSE),0)+IFERROR(VLOOKUP($N19,'Lists &amp; Rules'!$S$5:$T$7,2,FALSE),0)+IFERROR(VLOOKUP($M19,'Lists &amp; Rules'!$L$5:$N$13,3,FALSE),0)+IF($R19="Overdue",-10,IF($R19="Today",5,0))+MIN(15,$Z19*3))))</x:f>
      </x:c>
      <x:c r="P19" s="71" t="str">
        <x:f>IF($A19="","",IF(COUNTIF('Activity Log'!$C$6:$C$1005,$A19)=0,"",MAXIFS('Activity Log'!$B$6:$B$1005,'Activity Log'!$C$6:$C$1005,$A19)))</x:f>
      </x:c>
      <x:c r="Q19" s="71" t="str">
        <x:f>IF($A19="","",IF(COUNTIFS('Activity Log'!$C$6:$C$1005,$A19,'Activity Log'!$J$6:$J$1005,"No",'Activity Log'!$I$6:$I$1005,"&gt;0")=0,"",MINIFS('Activity Log'!$I$6:$I$1005,'Activity Log'!$C$6:$C$1005,$A19,'Activity Log'!$J$6:$J$1005,"No",'Activity Log'!$I$6:$I$1005,"&gt;0")))</x:f>
      </x:c>
      <x:c r="R19" s="57" t="str">
        <x:f>IF($C19="","",IF(OR($K19="Won",$K19="Lost",$K19="Disqualified"),"Closed",IF($Q19="","No date",IF(INT($Q19)&lt;TODAY(),"Overdue",IF(INT($Q19)=TODAY(),"Today",IF(INT($Q19)&lt;=TODAY()+7,"Next 7 days","Later"))))))</x:f>
      </x:c>
      <x:c r="S19" s="57" t="str">
        <x:f>IF(OR($C19="",$P19=""),"",TODAY()-INT($P19))</x:f>
      </x:c>
      <x:c r="T19" s="54"/>
      <x:c r="U19" s="54"/>
      <x:c r="V19" s="63"/>
      <x:c r="W19" s="74"/>
      <x:c r="X19" s="77" t="str">
        <x:f>IF($C19="","",IFERROR(VLOOKUP($M19,'Lists &amp; Rules'!$L$5:$N$13,2,FALSE),0))</x:f>
      </x:c>
      <x:c r="Y19" s="80" t="str">
        <x:f>IF(OR($C19="",$W19=""),"",ROUND($W19*$X19,0))</x:f>
      </x:c>
      <x:c r="Z19" s="57" t="str">
        <x:f>IF($A19="","",COUNTIF('Activity Log'!$C$6:$C$1005,$A19))</x:f>
      </x:c>
      <x:c r="AA19" s="68"/>
      <x:c r="AB19" s="63"/>
    </x:row>
    <x:row r="20">
      <x:c r="A20" s="54"/>
      <x:c r="B20" s="68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7" t="str">
        <x:f>IF($C20="","",MAX(0,MIN(100,IFERROR(VLOOKUP($L20,'Lists &amp; Rules'!$P$5:$Q$8,2,FALSE),0)+IFERROR(VLOOKUP($N20,'Lists &amp; Rules'!$S$5:$T$7,2,FALSE),0)+IFERROR(VLOOKUP($M20,'Lists &amp; Rules'!$L$5:$N$13,3,FALSE),0)+IF($R20="Overdue",-10,IF($R20="Today",5,0))+MIN(15,$Z20*3))))</x:f>
      </x:c>
      <x:c r="P20" s="71" t="str">
        <x:f>IF($A20="","",IF(COUNTIF('Activity Log'!$C$6:$C$1005,$A20)=0,"",MAXIFS('Activity Log'!$B$6:$B$1005,'Activity Log'!$C$6:$C$1005,$A20)))</x:f>
      </x:c>
      <x:c r="Q20" s="71" t="str">
        <x:f>IF($A20="","",IF(COUNTIFS('Activity Log'!$C$6:$C$1005,$A20,'Activity Log'!$J$6:$J$1005,"No",'Activity Log'!$I$6:$I$1005,"&gt;0")=0,"",MINIFS('Activity Log'!$I$6:$I$1005,'Activity Log'!$C$6:$C$1005,$A20,'Activity Log'!$J$6:$J$1005,"No",'Activity Log'!$I$6:$I$1005,"&gt;0")))</x:f>
      </x:c>
      <x:c r="R20" s="57" t="str">
        <x:f>IF($C20="","",IF(OR($K20="Won",$K20="Lost",$K20="Disqualified"),"Closed",IF($Q20="","No date",IF(INT($Q20)&lt;TODAY(),"Overdue",IF(INT($Q20)=TODAY(),"Today",IF(INT($Q20)&lt;=TODAY()+7,"Next 7 days","Later"))))))</x:f>
      </x:c>
      <x:c r="S20" s="57" t="str">
        <x:f>IF(OR($C20="",$P20=""),"",TODAY()-INT($P20))</x:f>
      </x:c>
      <x:c r="T20" s="54"/>
      <x:c r="U20" s="54"/>
      <x:c r="V20" s="63"/>
      <x:c r="W20" s="74"/>
      <x:c r="X20" s="77" t="str">
        <x:f>IF($C20="","",IFERROR(VLOOKUP($M20,'Lists &amp; Rules'!$L$5:$N$13,2,FALSE),0))</x:f>
      </x:c>
      <x:c r="Y20" s="80" t="str">
        <x:f>IF(OR($C20="",$W20=""),"",ROUND($W20*$X20,0))</x:f>
      </x:c>
      <x:c r="Z20" s="57" t="str">
        <x:f>IF($A20="","",COUNTIF('Activity Log'!$C$6:$C$1005,$A20))</x:f>
      </x:c>
      <x:c r="AA20" s="68"/>
      <x:c r="AB20" s="63"/>
    </x:row>
    <x:row r="21">
      <x:c r="A21" s="54"/>
      <x:c r="B21" s="68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7" t="str">
        <x:f>IF($C21="","",MAX(0,MIN(100,IFERROR(VLOOKUP($L21,'Lists &amp; Rules'!$P$5:$Q$8,2,FALSE),0)+IFERROR(VLOOKUP($N21,'Lists &amp; Rules'!$S$5:$T$7,2,FALSE),0)+IFERROR(VLOOKUP($M21,'Lists &amp; Rules'!$L$5:$N$13,3,FALSE),0)+IF($R21="Overdue",-10,IF($R21="Today",5,0))+MIN(15,$Z21*3))))</x:f>
      </x:c>
      <x:c r="P21" s="71" t="str">
        <x:f>IF($A21="","",IF(COUNTIF('Activity Log'!$C$6:$C$1005,$A21)=0,"",MAXIFS('Activity Log'!$B$6:$B$1005,'Activity Log'!$C$6:$C$1005,$A21)))</x:f>
      </x:c>
      <x:c r="Q21" s="71" t="str">
        <x:f>IF($A21="","",IF(COUNTIFS('Activity Log'!$C$6:$C$1005,$A21,'Activity Log'!$J$6:$J$1005,"No",'Activity Log'!$I$6:$I$1005,"&gt;0")=0,"",MINIFS('Activity Log'!$I$6:$I$1005,'Activity Log'!$C$6:$C$1005,$A21,'Activity Log'!$J$6:$J$1005,"No",'Activity Log'!$I$6:$I$1005,"&gt;0")))</x:f>
      </x:c>
      <x:c r="R21" s="57" t="str">
        <x:f>IF($C21="","",IF(OR($K21="Won",$K21="Lost",$K21="Disqualified"),"Closed",IF($Q21="","No date",IF(INT($Q21)&lt;TODAY(),"Overdue",IF(INT($Q21)=TODAY(),"Today",IF(INT($Q21)&lt;=TODAY()+7,"Next 7 days","Later"))))))</x:f>
      </x:c>
      <x:c r="S21" s="57" t="str">
        <x:f>IF(OR($C21="",$P21=""),"",TODAY()-INT($P21))</x:f>
      </x:c>
      <x:c r="T21" s="54"/>
      <x:c r="U21" s="54"/>
      <x:c r="V21" s="63"/>
      <x:c r="W21" s="74"/>
      <x:c r="X21" s="77" t="str">
        <x:f>IF($C21="","",IFERROR(VLOOKUP($M21,'Lists &amp; Rules'!$L$5:$N$13,2,FALSE),0))</x:f>
      </x:c>
      <x:c r="Y21" s="80" t="str">
        <x:f>IF(OR($C21="",$W21=""),"",ROUND($W21*$X21,0))</x:f>
      </x:c>
      <x:c r="Z21" s="57" t="str">
        <x:f>IF($A21="","",COUNTIF('Activity Log'!$C$6:$C$1005,$A21))</x:f>
      </x:c>
      <x:c r="AA21" s="68"/>
      <x:c r="AB21" s="63"/>
    </x:row>
    <x:row r="22">
      <x:c r="A22" s="54"/>
      <x:c r="B22" s="68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7" t="str">
        <x:f>IF($C22="","",MAX(0,MIN(100,IFERROR(VLOOKUP($L22,'Lists &amp; Rules'!$P$5:$Q$8,2,FALSE),0)+IFERROR(VLOOKUP($N22,'Lists &amp; Rules'!$S$5:$T$7,2,FALSE),0)+IFERROR(VLOOKUP($M22,'Lists &amp; Rules'!$L$5:$N$13,3,FALSE),0)+IF($R22="Overdue",-10,IF($R22="Today",5,0))+MIN(15,$Z22*3))))</x:f>
      </x:c>
      <x:c r="P22" s="71" t="str">
        <x:f>IF($A22="","",IF(COUNTIF('Activity Log'!$C$6:$C$1005,$A22)=0,"",MAXIFS('Activity Log'!$B$6:$B$1005,'Activity Log'!$C$6:$C$1005,$A22)))</x:f>
      </x:c>
      <x:c r="Q22" s="71" t="str">
        <x:f>IF($A22="","",IF(COUNTIFS('Activity Log'!$C$6:$C$1005,$A22,'Activity Log'!$J$6:$J$1005,"No",'Activity Log'!$I$6:$I$1005,"&gt;0")=0,"",MINIFS('Activity Log'!$I$6:$I$1005,'Activity Log'!$C$6:$C$1005,$A22,'Activity Log'!$J$6:$J$1005,"No",'Activity Log'!$I$6:$I$1005,"&gt;0")))</x:f>
      </x:c>
      <x:c r="R22" s="57" t="str">
        <x:f>IF($C22="","",IF(OR($K22="Won",$K22="Lost",$K22="Disqualified"),"Closed",IF($Q22="","No date",IF(INT($Q22)&lt;TODAY(),"Overdue",IF(INT($Q22)=TODAY(),"Today",IF(INT($Q22)&lt;=TODAY()+7,"Next 7 days","Later"))))))</x:f>
      </x:c>
      <x:c r="S22" s="57" t="str">
        <x:f>IF(OR($C22="",$P22=""),"",TODAY()-INT($P22))</x:f>
      </x:c>
      <x:c r="T22" s="54"/>
      <x:c r="U22" s="54"/>
      <x:c r="V22" s="63"/>
      <x:c r="W22" s="74"/>
      <x:c r="X22" s="77" t="str">
        <x:f>IF($C22="","",IFERROR(VLOOKUP($M22,'Lists &amp; Rules'!$L$5:$N$13,2,FALSE),0))</x:f>
      </x:c>
      <x:c r="Y22" s="80" t="str">
        <x:f>IF(OR($C22="",$W22=""),"",ROUND($W22*$X22,0))</x:f>
      </x:c>
      <x:c r="Z22" s="57" t="str">
        <x:f>IF($A22="","",COUNTIF('Activity Log'!$C$6:$C$1005,$A22))</x:f>
      </x:c>
      <x:c r="AA22" s="68"/>
      <x:c r="AB22" s="63"/>
    </x:row>
    <x:row r="23">
      <x:c r="A23" s="54"/>
      <x:c r="B23" s="68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7" t="str">
        <x:f>IF($C23="","",MAX(0,MIN(100,IFERROR(VLOOKUP($L23,'Lists &amp; Rules'!$P$5:$Q$8,2,FALSE),0)+IFERROR(VLOOKUP($N23,'Lists &amp; Rules'!$S$5:$T$7,2,FALSE),0)+IFERROR(VLOOKUP($M23,'Lists &amp; Rules'!$L$5:$N$13,3,FALSE),0)+IF($R23="Overdue",-10,IF($R23="Today",5,0))+MIN(15,$Z23*3))))</x:f>
      </x:c>
      <x:c r="P23" s="71" t="str">
        <x:f>IF($A23="","",IF(COUNTIF('Activity Log'!$C$6:$C$1005,$A23)=0,"",MAXIFS('Activity Log'!$B$6:$B$1005,'Activity Log'!$C$6:$C$1005,$A23)))</x:f>
      </x:c>
      <x:c r="Q23" s="71" t="str">
        <x:f>IF($A23="","",IF(COUNTIFS('Activity Log'!$C$6:$C$1005,$A23,'Activity Log'!$J$6:$J$1005,"No",'Activity Log'!$I$6:$I$1005,"&gt;0")=0,"",MINIFS('Activity Log'!$I$6:$I$1005,'Activity Log'!$C$6:$C$1005,$A23,'Activity Log'!$J$6:$J$1005,"No",'Activity Log'!$I$6:$I$1005,"&gt;0")))</x:f>
      </x:c>
      <x:c r="R23" s="57" t="str">
        <x:f>IF($C23="","",IF(OR($K23="Won",$K23="Lost",$K23="Disqualified"),"Closed",IF($Q23="","No date",IF(INT($Q23)&lt;TODAY(),"Overdue",IF(INT($Q23)=TODAY(),"Today",IF(INT($Q23)&lt;=TODAY()+7,"Next 7 days","Later"))))))</x:f>
      </x:c>
      <x:c r="S23" s="57" t="str">
        <x:f>IF(OR($C23="",$P23=""),"",TODAY()-INT($P23))</x:f>
      </x:c>
      <x:c r="T23" s="54"/>
      <x:c r="U23" s="54"/>
      <x:c r="V23" s="63"/>
      <x:c r="W23" s="74"/>
      <x:c r="X23" s="77" t="str">
        <x:f>IF($C23="","",IFERROR(VLOOKUP($M23,'Lists &amp; Rules'!$L$5:$N$13,2,FALSE),0))</x:f>
      </x:c>
      <x:c r="Y23" s="80" t="str">
        <x:f>IF(OR($C23="",$W23=""),"",ROUND($W23*$X23,0))</x:f>
      </x:c>
      <x:c r="Z23" s="57" t="str">
        <x:f>IF($A23="","",COUNTIF('Activity Log'!$C$6:$C$1005,$A23))</x:f>
      </x:c>
      <x:c r="AA23" s="68"/>
      <x:c r="AB23" s="63"/>
    </x:row>
    <x:row r="24">
      <x:c r="A24" s="54"/>
      <x:c r="B24" s="68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7" t="str">
        <x:f>IF($C24="","",MAX(0,MIN(100,IFERROR(VLOOKUP($L24,'Lists &amp; Rules'!$P$5:$Q$8,2,FALSE),0)+IFERROR(VLOOKUP($N24,'Lists &amp; Rules'!$S$5:$T$7,2,FALSE),0)+IFERROR(VLOOKUP($M24,'Lists &amp; Rules'!$L$5:$N$13,3,FALSE),0)+IF($R24="Overdue",-10,IF($R24="Today",5,0))+MIN(15,$Z24*3))))</x:f>
      </x:c>
      <x:c r="P24" s="71" t="str">
        <x:f>IF($A24="","",IF(COUNTIF('Activity Log'!$C$6:$C$1005,$A24)=0,"",MAXIFS('Activity Log'!$B$6:$B$1005,'Activity Log'!$C$6:$C$1005,$A24)))</x:f>
      </x:c>
      <x:c r="Q24" s="71" t="str">
        <x:f>IF($A24="","",IF(COUNTIFS('Activity Log'!$C$6:$C$1005,$A24,'Activity Log'!$J$6:$J$1005,"No",'Activity Log'!$I$6:$I$1005,"&gt;0")=0,"",MINIFS('Activity Log'!$I$6:$I$1005,'Activity Log'!$C$6:$C$1005,$A24,'Activity Log'!$J$6:$J$1005,"No",'Activity Log'!$I$6:$I$1005,"&gt;0")))</x:f>
      </x:c>
      <x:c r="R24" s="57" t="str">
        <x:f>IF($C24="","",IF(OR($K24="Won",$K24="Lost",$K24="Disqualified"),"Closed",IF($Q24="","No date",IF(INT($Q24)&lt;TODAY(),"Overdue",IF(INT($Q24)=TODAY(),"Today",IF(INT($Q24)&lt;=TODAY()+7,"Next 7 days","Later"))))))</x:f>
      </x:c>
      <x:c r="S24" s="57" t="str">
        <x:f>IF(OR($C24="",$P24=""),"",TODAY()-INT($P24))</x:f>
      </x:c>
      <x:c r="T24" s="54"/>
      <x:c r="U24" s="54"/>
      <x:c r="V24" s="63"/>
      <x:c r="W24" s="74"/>
      <x:c r="X24" s="77" t="str">
        <x:f>IF($C24="","",IFERROR(VLOOKUP($M24,'Lists &amp; Rules'!$L$5:$N$13,2,FALSE),0))</x:f>
      </x:c>
      <x:c r="Y24" s="80" t="str">
        <x:f>IF(OR($C24="",$W24=""),"",ROUND($W24*$X24,0))</x:f>
      </x:c>
      <x:c r="Z24" s="57" t="str">
        <x:f>IF($A24="","",COUNTIF('Activity Log'!$C$6:$C$1005,$A24))</x:f>
      </x:c>
      <x:c r="AA24" s="68"/>
      <x:c r="AB24" s="63"/>
    </x:row>
    <x:row r="25">
      <x:c r="A25" s="54"/>
      <x:c r="B25" s="68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7" t="str">
        <x:f>IF($C25="","",MAX(0,MIN(100,IFERROR(VLOOKUP($L25,'Lists &amp; Rules'!$P$5:$Q$8,2,FALSE),0)+IFERROR(VLOOKUP($N25,'Lists &amp; Rules'!$S$5:$T$7,2,FALSE),0)+IFERROR(VLOOKUP($M25,'Lists &amp; Rules'!$L$5:$N$13,3,FALSE),0)+IF($R25="Overdue",-10,IF($R25="Today",5,0))+MIN(15,$Z25*3))))</x:f>
      </x:c>
      <x:c r="P25" s="71" t="str">
        <x:f>IF($A25="","",IF(COUNTIF('Activity Log'!$C$6:$C$1005,$A25)=0,"",MAXIFS('Activity Log'!$B$6:$B$1005,'Activity Log'!$C$6:$C$1005,$A25)))</x:f>
      </x:c>
      <x:c r="Q25" s="71" t="str">
        <x:f>IF($A25="","",IF(COUNTIFS('Activity Log'!$C$6:$C$1005,$A25,'Activity Log'!$J$6:$J$1005,"No",'Activity Log'!$I$6:$I$1005,"&gt;0")=0,"",MINIFS('Activity Log'!$I$6:$I$1005,'Activity Log'!$C$6:$C$1005,$A25,'Activity Log'!$J$6:$J$1005,"No",'Activity Log'!$I$6:$I$1005,"&gt;0")))</x:f>
      </x:c>
      <x:c r="R25" s="57" t="str">
        <x:f>IF($C25="","",IF(OR($K25="Won",$K25="Lost",$K25="Disqualified"),"Closed",IF($Q25="","No date",IF(INT($Q25)&lt;TODAY(),"Overdue",IF(INT($Q25)=TODAY(),"Today",IF(INT($Q25)&lt;=TODAY()+7,"Next 7 days","Later"))))))</x:f>
      </x:c>
      <x:c r="S25" s="57" t="str">
        <x:f>IF(OR($C25="",$P25=""),"",TODAY()-INT($P25))</x:f>
      </x:c>
      <x:c r="T25" s="54"/>
      <x:c r="U25" s="54"/>
      <x:c r="V25" s="63"/>
      <x:c r="W25" s="74"/>
      <x:c r="X25" s="77" t="str">
        <x:f>IF($C25="","",IFERROR(VLOOKUP($M25,'Lists &amp; Rules'!$L$5:$N$13,2,FALSE),0))</x:f>
      </x:c>
      <x:c r="Y25" s="80" t="str">
        <x:f>IF(OR($C25="",$W25=""),"",ROUND($W25*$X25,0))</x:f>
      </x:c>
      <x:c r="Z25" s="57" t="str">
        <x:f>IF($A25="","",COUNTIF('Activity Log'!$C$6:$C$1005,$A25))</x:f>
      </x:c>
      <x:c r="AA25" s="68"/>
      <x:c r="AB25" s="63"/>
    </x:row>
    <x:row r="26">
      <x:c r="A26" s="54"/>
      <x:c r="B26" s="68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7" t="str">
        <x:f>IF($C26="","",MAX(0,MIN(100,IFERROR(VLOOKUP($L26,'Lists &amp; Rules'!$P$5:$Q$8,2,FALSE),0)+IFERROR(VLOOKUP($N26,'Lists &amp; Rules'!$S$5:$T$7,2,FALSE),0)+IFERROR(VLOOKUP($M26,'Lists &amp; Rules'!$L$5:$N$13,3,FALSE),0)+IF($R26="Overdue",-10,IF($R26="Today",5,0))+MIN(15,$Z26*3))))</x:f>
      </x:c>
      <x:c r="P26" s="71" t="str">
        <x:f>IF($A26="","",IF(COUNTIF('Activity Log'!$C$6:$C$1005,$A26)=0,"",MAXIFS('Activity Log'!$B$6:$B$1005,'Activity Log'!$C$6:$C$1005,$A26)))</x:f>
      </x:c>
      <x:c r="Q26" s="71" t="str">
        <x:f>IF($A26="","",IF(COUNTIFS('Activity Log'!$C$6:$C$1005,$A26,'Activity Log'!$J$6:$J$1005,"No",'Activity Log'!$I$6:$I$1005,"&gt;0")=0,"",MINIFS('Activity Log'!$I$6:$I$1005,'Activity Log'!$C$6:$C$1005,$A26,'Activity Log'!$J$6:$J$1005,"No",'Activity Log'!$I$6:$I$1005,"&gt;0")))</x:f>
      </x:c>
      <x:c r="R26" s="57" t="str">
        <x:f>IF($C26="","",IF(OR($K26="Won",$K26="Lost",$K26="Disqualified"),"Closed",IF($Q26="","No date",IF(INT($Q26)&lt;TODAY(),"Overdue",IF(INT($Q26)=TODAY(),"Today",IF(INT($Q26)&lt;=TODAY()+7,"Next 7 days","Later"))))))</x:f>
      </x:c>
      <x:c r="S26" s="57" t="str">
        <x:f>IF(OR($C26="",$P26=""),"",TODAY()-INT($P26))</x:f>
      </x:c>
      <x:c r="T26" s="54"/>
      <x:c r="U26" s="54"/>
      <x:c r="V26" s="63"/>
      <x:c r="W26" s="74"/>
      <x:c r="X26" s="77" t="str">
        <x:f>IF($C26="","",IFERROR(VLOOKUP($M26,'Lists &amp; Rules'!$L$5:$N$13,2,FALSE),0))</x:f>
      </x:c>
      <x:c r="Y26" s="80" t="str">
        <x:f>IF(OR($C26="",$W26=""),"",ROUND($W26*$X26,0))</x:f>
      </x:c>
      <x:c r="Z26" s="57" t="str">
        <x:f>IF($A26="","",COUNTIF('Activity Log'!$C$6:$C$1005,$A26))</x:f>
      </x:c>
      <x:c r="AA26" s="68"/>
      <x:c r="AB26" s="63"/>
    </x:row>
    <x:row r="27">
      <x:c r="A27" s="54"/>
      <x:c r="B27" s="68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7" t="str">
        <x:f>IF($C27="","",MAX(0,MIN(100,IFERROR(VLOOKUP($L27,'Lists &amp; Rules'!$P$5:$Q$8,2,FALSE),0)+IFERROR(VLOOKUP($N27,'Lists &amp; Rules'!$S$5:$T$7,2,FALSE),0)+IFERROR(VLOOKUP($M27,'Lists &amp; Rules'!$L$5:$N$13,3,FALSE),0)+IF($R27="Overdue",-10,IF($R27="Today",5,0))+MIN(15,$Z27*3))))</x:f>
      </x:c>
      <x:c r="P27" s="71" t="str">
        <x:f>IF($A27="","",IF(COUNTIF('Activity Log'!$C$6:$C$1005,$A27)=0,"",MAXIFS('Activity Log'!$B$6:$B$1005,'Activity Log'!$C$6:$C$1005,$A27)))</x:f>
      </x:c>
      <x:c r="Q27" s="71" t="str">
        <x:f>IF($A27="","",IF(COUNTIFS('Activity Log'!$C$6:$C$1005,$A27,'Activity Log'!$J$6:$J$1005,"No",'Activity Log'!$I$6:$I$1005,"&gt;0")=0,"",MINIFS('Activity Log'!$I$6:$I$1005,'Activity Log'!$C$6:$C$1005,$A27,'Activity Log'!$J$6:$J$1005,"No",'Activity Log'!$I$6:$I$1005,"&gt;0")))</x:f>
      </x:c>
      <x:c r="R27" s="57" t="str">
        <x:f>IF($C27="","",IF(OR($K27="Won",$K27="Lost",$K27="Disqualified"),"Closed",IF($Q27="","No date",IF(INT($Q27)&lt;TODAY(),"Overdue",IF(INT($Q27)=TODAY(),"Today",IF(INT($Q27)&lt;=TODAY()+7,"Next 7 days","Later"))))))</x:f>
      </x:c>
      <x:c r="S27" s="57" t="str">
        <x:f>IF(OR($C27="",$P27=""),"",TODAY()-INT($P27))</x:f>
      </x:c>
      <x:c r="T27" s="54"/>
      <x:c r="U27" s="54"/>
      <x:c r="V27" s="63"/>
      <x:c r="W27" s="74"/>
      <x:c r="X27" s="77" t="str">
        <x:f>IF($C27="","",IFERROR(VLOOKUP($M27,'Lists &amp; Rules'!$L$5:$N$13,2,FALSE),0))</x:f>
      </x:c>
      <x:c r="Y27" s="80" t="str">
        <x:f>IF(OR($C27="",$W27=""),"",ROUND($W27*$X27,0))</x:f>
      </x:c>
      <x:c r="Z27" s="57" t="str">
        <x:f>IF($A27="","",COUNTIF('Activity Log'!$C$6:$C$1005,$A27))</x:f>
      </x:c>
      <x:c r="AA27" s="68"/>
      <x:c r="AB27" s="63"/>
    </x:row>
    <x:row r="28">
      <x:c r="A28" s="54"/>
      <x:c r="B28" s="68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7" t="str">
        <x:f>IF($C28="","",MAX(0,MIN(100,IFERROR(VLOOKUP($L28,'Lists &amp; Rules'!$P$5:$Q$8,2,FALSE),0)+IFERROR(VLOOKUP($N28,'Lists &amp; Rules'!$S$5:$T$7,2,FALSE),0)+IFERROR(VLOOKUP($M28,'Lists &amp; Rules'!$L$5:$N$13,3,FALSE),0)+IF($R28="Overdue",-10,IF($R28="Today",5,0))+MIN(15,$Z28*3))))</x:f>
      </x:c>
      <x:c r="P28" s="71" t="str">
        <x:f>IF($A28="","",IF(COUNTIF('Activity Log'!$C$6:$C$1005,$A28)=0,"",MAXIFS('Activity Log'!$B$6:$B$1005,'Activity Log'!$C$6:$C$1005,$A28)))</x:f>
      </x:c>
      <x:c r="Q28" s="71" t="str">
        <x:f>IF($A28="","",IF(COUNTIFS('Activity Log'!$C$6:$C$1005,$A28,'Activity Log'!$J$6:$J$1005,"No",'Activity Log'!$I$6:$I$1005,"&gt;0")=0,"",MINIFS('Activity Log'!$I$6:$I$1005,'Activity Log'!$C$6:$C$1005,$A28,'Activity Log'!$J$6:$J$1005,"No",'Activity Log'!$I$6:$I$1005,"&gt;0")))</x:f>
      </x:c>
      <x:c r="R28" s="57" t="str">
        <x:f>IF($C28="","",IF(OR($K28="Won",$K28="Lost",$K28="Disqualified"),"Closed",IF($Q28="","No date",IF(INT($Q28)&lt;TODAY(),"Overdue",IF(INT($Q28)=TODAY(),"Today",IF(INT($Q28)&lt;=TODAY()+7,"Next 7 days","Later"))))))</x:f>
      </x:c>
      <x:c r="S28" s="57" t="str">
        <x:f>IF(OR($C28="",$P28=""),"",TODAY()-INT($P28))</x:f>
      </x:c>
      <x:c r="T28" s="54"/>
      <x:c r="U28" s="54"/>
      <x:c r="V28" s="63"/>
      <x:c r="W28" s="74"/>
      <x:c r="X28" s="77" t="str">
        <x:f>IF($C28="","",IFERROR(VLOOKUP($M28,'Lists &amp; Rules'!$L$5:$N$13,2,FALSE),0))</x:f>
      </x:c>
      <x:c r="Y28" s="80" t="str">
        <x:f>IF(OR($C28="",$W28=""),"",ROUND($W28*$X28,0))</x:f>
      </x:c>
      <x:c r="Z28" s="57" t="str">
        <x:f>IF($A28="","",COUNTIF('Activity Log'!$C$6:$C$1005,$A28))</x:f>
      </x:c>
      <x:c r="AA28" s="68"/>
      <x:c r="AB28" s="63"/>
    </x:row>
    <x:row r="29">
      <x:c r="A29" s="54"/>
      <x:c r="B29" s="68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7" t="str">
        <x:f>IF($C29="","",MAX(0,MIN(100,IFERROR(VLOOKUP($L29,'Lists &amp; Rules'!$P$5:$Q$8,2,FALSE),0)+IFERROR(VLOOKUP($N29,'Lists &amp; Rules'!$S$5:$T$7,2,FALSE),0)+IFERROR(VLOOKUP($M29,'Lists &amp; Rules'!$L$5:$N$13,3,FALSE),0)+IF($R29="Overdue",-10,IF($R29="Today",5,0))+MIN(15,$Z29*3))))</x:f>
      </x:c>
      <x:c r="P29" s="71" t="str">
        <x:f>IF($A29="","",IF(COUNTIF('Activity Log'!$C$6:$C$1005,$A29)=0,"",MAXIFS('Activity Log'!$B$6:$B$1005,'Activity Log'!$C$6:$C$1005,$A29)))</x:f>
      </x:c>
      <x:c r="Q29" s="71" t="str">
        <x:f>IF($A29="","",IF(COUNTIFS('Activity Log'!$C$6:$C$1005,$A29,'Activity Log'!$J$6:$J$1005,"No",'Activity Log'!$I$6:$I$1005,"&gt;0")=0,"",MINIFS('Activity Log'!$I$6:$I$1005,'Activity Log'!$C$6:$C$1005,$A29,'Activity Log'!$J$6:$J$1005,"No",'Activity Log'!$I$6:$I$1005,"&gt;0")))</x:f>
      </x:c>
      <x:c r="R29" s="57" t="str">
        <x:f>IF($C29="","",IF(OR($K29="Won",$K29="Lost",$K29="Disqualified"),"Closed",IF($Q29="","No date",IF(INT($Q29)&lt;TODAY(),"Overdue",IF(INT($Q29)=TODAY(),"Today",IF(INT($Q29)&lt;=TODAY()+7,"Next 7 days","Later"))))))</x:f>
      </x:c>
      <x:c r="S29" s="57" t="str">
        <x:f>IF(OR($C29="",$P29=""),"",TODAY()-INT($P29))</x:f>
      </x:c>
      <x:c r="T29" s="54"/>
      <x:c r="U29" s="54"/>
      <x:c r="V29" s="63"/>
      <x:c r="W29" s="74"/>
      <x:c r="X29" s="77" t="str">
        <x:f>IF($C29="","",IFERROR(VLOOKUP($M29,'Lists &amp; Rules'!$L$5:$N$13,2,FALSE),0))</x:f>
      </x:c>
      <x:c r="Y29" s="80" t="str">
        <x:f>IF(OR($C29="",$W29=""),"",ROUND($W29*$X29,0))</x:f>
      </x:c>
      <x:c r="Z29" s="57" t="str">
        <x:f>IF($A29="","",COUNTIF('Activity Log'!$C$6:$C$1005,$A29))</x:f>
      </x:c>
      <x:c r="AA29" s="68"/>
      <x:c r="AB29" s="63"/>
    </x:row>
    <x:row r="30">
      <x:c r="A30" s="54"/>
      <x:c r="B30" s="68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7" t="str">
        <x:f>IF($C30="","",MAX(0,MIN(100,IFERROR(VLOOKUP($L30,'Lists &amp; Rules'!$P$5:$Q$8,2,FALSE),0)+IFERROR(VLOOKUP($N30,'Lists &amp; Rules'!$S$5:$T$7,2,FALSE),0)+IFERROR(VLOOKUP($M30,'Lists &amp; Rules'!$L$5:$N$13,3,FALSE),0)+IF($R30="Overdue",-10,IF($R30="Today",5,0))+MIN(15,$Z30*3))))</x:f>
      </x:c>
      <x:c r="P30" s="71" t="str">
        <x:f>IF($A30="","",IF(COUNTIF('Activity Log'!$C$6:$C$1005,$A30)=0,"",MAXIFS('Activity Log'!$B$6:$B$1005,'Activity Log'!$C$6:$C$1005,$A30)))</x:f>
      </x:c>
      <x:c r="Q30" s="71" t="str">
        <x:f>IF($A30="","",IF(COUNTIFS('Activity Log'!$C$6:$C$1005,$A30,'Activity Log'!$J$6:$J$1005,"No",'Activity Log'!$I$6:$I$1005,"&gt;0")=0,"",MINIFS('Activity Log'!$I$6:$I$1005,'Activity Log'!$C$6:$C$1005,$A30,'Activity Log'!$J$6:$J$1005,"No",'Activity Log'!$I$6:$I$1005,"&gt;0")))</x:f>
      </x:c>
      <x:c r="R30" s="57" t="str">
        <x:f>IF($C30="","",IF(OR($K30="Won",$K30="Lost",$K30="Disqualified"),"Closed",IF($Q30="","No date",IF(INT($Q30)&lt;TODAY(),"Overdue",IF(INT($Q30)=TODAY(),"Today",IF(INT($Q30)&lt;=TODAY()+7,"Next 7 days","Later"))))))</x:f>
      </x:c>
      <x:c r="S30" s="57" t="str">
        <x:f>IF(OR($C30="",$P30=""),"",TODAY()-INT($P30))</x:f>
      </x:c>
      <x:c r="T30" s="54"/>
      <x:c r="U30" s="54"/>
      <x:c r="V30" s="63"/>
      <x:c r="W30" s="74"/>
      <x:c r="X30" s="77" t="str">
        <x:f>IF($C30="","",IFERROR(VLOOKUP($M30,'Lists &amp; Rules'!$L$5:$N$13,2,FALSE),0))</x:f>
      </x:c>
      <x:c r="Y30" s="80" t="str">
        <x:f>IF(OR($C30="",$W30=""),"",ROUND($W30*$X30,0))</x:f>
      </x:c>
      <x:c r="Z30" s="57" t="str">
        <x:f>IF($A30="","",COUNTIF('Activity Log'!$C$6:$C$1005,$A30))</x:f>
      </x:c>
      <x:c r="AA30" s="68"/>
      <x:c r="AB30" s="63"/>
    </x:row>
    <x:row r="31">
      <x:c r="A31" s="54"/>
      <x:c r="B31" s="68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  <x:c r="N31" s="54"/>
      <x:c r="O31" s="57" t="str">
        <x:f>IF($C31="","",MAX(0,MIN(100,IFERROR(VLOOKUP($L31,'Lists &amp; Rules'!$P$5:$Q$8,2,FALSE),0)+IFERROR(VLOOKUP($N31,'Lists &amp; Rules'!$S$5:$T$7,2,FALSE),0)+IFERROR(VLOOKUP($M31,'Lists &amp; Rules'!$L$5:$N$13,3,FALSE),0)+IF($R31="Overdue",-10,IF($R31="Today",5,0))+MIN(15,$Z31*3))))</x:f>
      </x:c>
      <x:c r="P31" s="71" t="str">
        <x:f>IF($A31="","",IF(COUNTIF('Activity Log'!$C$6:$C$1005,$A31)=0,"",MAXIFS('Activity Log'!$B$6:$B$1005,'Activity Log'!$C$6:$C$1005,$A31)))</x:f>
      </x:c>
      <x:c r="Q31" s="71" t="str">
        <x:f>IF($A31="","",IF(COUNTIFS('Activity Log'!$C$6:$C$1005,$A31,'Activity Log'!$J$6:$J$1005,"No",'Activity Log'!$I$6:$I$1005,"&gt;0")=0,"",MINIFS('Activity Log'!$I$6:$I$1005,'Activity Log'!$C$6:$C$1005,$A31,'Activity Log'!$J$6:$J$1005,"No",'Activity Log'!$I$6:$I$1005,"&gt;0")))</x:f>
      </x:c>
      <x:c r="R31" s="57" t="str">
        <x:f>IF($C31="","",IF(OR($K31="Won",$K31="Lost",$K31="Disqualified"),"Closed",IF($Q31="","No date",IF(INT($Q31)&lt;TODAY(),"Overdue",IF(INT($Q31)=TODAY(),"Today",IF(INT($Q31)&lt;=TODAY()+7,"Next 7 days","Later"))))))</x:f>
      </x:c>
      <x:c r="S31" s="57" t="str">
        <x:f>IF(OR($C31="",$P31=""),"",TODAY()-INT($P31))</x:f>
      </x:c>
      <x:c r="T31" s="54"/>
      <x:c r="U31" s="54"/>
      <x:c r="V31" s="63"/>
      <x:c r="W31" s="74"/>
      <x:c r="X31" s="77" t="str">
        <x:f>IF($C31="","",IFERROR(VLOOKUP($M31,'Lists &amp; Rules'!$L$5:$N$13,2,FALSE),0))</x:f>
      </x:c>
      <x:c r="Y31" s="80" t="str">
        <x:f>IF(OR($C31="",$W31=""),"",ROUND($W31*$X31,0))</x:f>
      </x:c>
      <x:c r="Z31" s="57" t="str">
        <x:f>IF($A31="","",COUNTIF('Activity Log'!$C$6:$C$1005,$A31))</x:f>
      </x:c>
      <x:c r="AA31" s="68"/>
      <x:c r="AB31" s="63"/>
    </x:row>
    <x:row r="32">
      <x:c r="A32" s="54"/>
      <x:c r="B32" s="68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7" t="str">
        <x:f>IF($C32="","",MAX(0,MIN(100,IFERROR(VLOOKUP($L32,'Lists &amp; Rules'!$P$5:$Q$8,2,FALSE),0)+IFERROR(VLOOKUP($N32,'Lists &amp; Rules'!$S$5:$T$7,2,FALSE),0)+IFERROR(VLOOKUP($M32,'Lists &amp; Rules'!$L$5:$N$13,3,FALSE),0)+IF($R32="Overdue",-10,IF($R32="Today",5,0))+MIN(15,$Z32*3))))</x:f>
      </x:c>
      <x:c r="P32" s="71" t="str">
        <x:f>IF($A32="","",IF(COUNTIF('Activity Log'!$C$6:$C$1005,$A32)=0,"",MAXIFS('Activity Log'!$B$6:$B$1005,'Activity Log'!$C$6:$C$1005,$A32)))</x:f>
      </x:c>
      <x:c r="Q32" s="71" t="str">
        <x:f>IF($A32="","",IF(COUNTIFS('Activity Log'!$C$6:$C$1005,$A32,'Activity Log'!$J$6:$J$1005,"No",'Activity Log'!$I$6:$I$1005,"&gt;0")=0,"",MINIFS('Activity Log'!$I$6:$I$1005,'Activity Log'!$C$6:$C$1005,$A32,'Activity Log'!$J$6:$J$1005,"No",'Activity Log'!$I$6:$I$1005,"&gt;0")))</x:f>
      </x:c>
      <x:c r="R32" s="57" t="str">
        <x:f>IF($C32="","",IF(OR($K32="Won",$K32="Lost",$K32="Disqualified"),"Closed",IF($Q32="","No date",IF(INT($Q32)&lt;TODAY(),"Overdue",IF(INT($Q32)=TODAY(),"Today",IF(INT($Q32)&lt;=TODAY()+7,"Next 7 days","Later"))))))</x:f>
      </x:c>
      <x:c r="S32" s="57" t="str">
        <x:f>IF(OR($C32="",$P32=""),"",TODAY()-INT($P32))</x:f>
      </x:c>
      <x:c r="T32" s="54"/>
      <x:c r="U32" s="54"/>
      <x:c r="V32" s="63"/>
      <x:c r="W32" s="74"/>
      <x:c r="X32" s="77" t="str">
        <x:f>IF($C32="","",IFERROR(VLOOKUP($M32,'Lists &amp; Rules'!$L$5:$N$13,2,FALSE),0))</x:f>
      </x:c>
      <x:c r="Y32" s="80" t="str">
        <x:f>IF(OR($C32="",$W32=""),"",ROUND($W32*$X32,0))</x:f>
      </x:c>
      <x:c r="Z32" s="57" t="str">
        <x:f>IF($A32="","",COUNTIF('Activity Log'!$C$6:$C$1005,$A32))</x:f>
      </x:c>
      <x:c r="AA32" s="68"/>
      <x:c r="AB32" s="63"/>
    </x:row>
    <x:row r="33">
      <x:c r="A33" s="54"/>
      <x:c r="B33" s="68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7" t="str">
        <x:f>IF($C33="","",MAX(0,MIN(100,IFERROR(VLOOKUP($L33,'Lists &amp; Rules'!$P$5:$Q$8,2,FALSE),0)+IFERROR(VLOOKUP($N33,'Lists &amp; Rules'!$S$5:$T$7,2,FALSE),0)+IFERROR(VLOOKUP($M33,'Lists &amp; Rules'!$L$5:$N$13,3,FALSE),0)+IF($R33="Overdue",-10,IF($R33="Today",5,0))+MIN(15,$Z33*3))))</x:f>
      </x:c>
      <x:c r="P33" s="71" t="str">
        <x:f>IF($A33="","",IF(COUNTIF('Activity Log'!$C$6:$C$1005,$A33)=0,"",MAXIFS('Activity Log'!$B$6:$B$1005,'Activity Log'!$C$6:$C$1005,$A33)))</x:f>
      </x:c>
      <x:c r="Q33" s="71" t="str">
        <x:f>IF($A33="","",IF(COUNTIFS('Activity Log'!$C$6:$C$1005,$A33,'Activity Log'!$J$6:$J$1005,"No",'Activity Log'!$I$6:$I$1005,"&gt;0")=0,"",MINIFS('Activity Log'!$I$6:$I$1005,'Activity Log'!$C$6:$C$1005,$A33,'Activity Log'!$J$6:$J$1005,"No",'Activity Log'!$I$6:$I$1005,"&gt;0")))</x:f>
      </x:c>
      <x:c r="R33" s="57" t="str">
        <x:f>IF($C33="","",IF(OR($K33="Won",$K33="Lost",$K33="Disqualified"),"Closed",IF($Q33="","No date",IF(INT($Q33)&lt;TODAY(),"Overdue",IF(INT($Q33)=TODAY(),"Today",IF(INT($Q33)&lt;=TODAY()+7,"Next 7 days","Later"))))))</x:f>
      </x:c>
      <x:c r="S33" s="57" t="str">
        <x:f>IF(OR($C33="",$P33=""),"",TODAY()-INT($P33))</x:f>
      </x:c>
      <x:c r="T33" s="54"/>
      <x:c r="U33" s="54"/>
      <x:c r="V33" s="63"/>
      <x:c r="W33" s="74"/>
      <x:c r="X33" s="77" t="str">
        <x:f>IF($C33="","",IFERROR(VLOOKUP($M33,'Lists &amp; Rules'!$L$5:$N$13,2,FALSE),0))</x:f>
      </x:c>
      <x:c r="Y33" s="80" t="str">
        <x:f>IF(OR($C33="",$W33=""),"",ROUND($W33*$X33,0))</x:f>
      </x:c>
      <x:c r="Z33" s="57" t="str">
        <x:f>IF($A33="","",COUNTIF('Activity Log'!$C$6:$C$1005,$A33))</x:f>
      </x:c>
      <x:c r="AA33" s="68"/>
      <x:c r="AB33" s="63"/>
    </x:row>
    <x:row r="34">
      <x:c r="A34" s="54"/>
      <x:c r="B34" s="68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  <x:c r="N34" s="54"/>
      <x:c r="O34" s="57" t="str">
        <x:f>IF($C34="","",MAX(0,MIN(100,IFERROR(VLOOKUP($L34,'Lists &amp; Rules'!$P$5:$Q$8,2,FALSE),0)+IFERROR(VLOOKUP($N34,'Lists &amp; Rules'!$S$5:$T$7,2,FALSE),0)+IFERROR(VLOOKUP($M34,'Lists &amp; Rules'!$L$5:$N$13,3,FALSE),0)+IF($R34="Overdue",-10,IF($R34="Today",5,0))+MIN(15,$Z34*3))))</x:f>
      </x:c>
      <x:c r="P34" s="71" t="str">
        <x:f>IF($A34="","",IF(COUNTIF('Activity Log'!$C$6:$C$1005,$A34)=0,"",MAXIFS('Activity Log'!$B$6:$B$1005,'Activity Log'!$C$6:$C$1005,$A34)))</x:f>
      </x:c>
      <x:c r="Q34" s="71" t="str">
        <x:f>IF($A34="","",IF(COUNTIFS('Activity Log'!$C$6:$C$1005,$A34,'Activity Log'!$J$6:$J$1005,"No",'Activity Log'!$I$6:$I$1005,"&gt;0")=0,"",MINIFS('Activity Log'!$I$6:$I$1005,'Activity Log'!$C$6:$C$1005,$A34,'Activity Log'!$J$6:$J$1005,"No",'Activity Log'!$I$6:$I$1005,"&gt;0")))</x:f>
      </x:c>
      <x:c r="R34" s="57" t="str">
        <x:f>IF($C34="","",IF(OR($K34="Won",$K34="Lost",$K34="Disqualified"),"Closed",IF($Q34="","No date",IF(INT($Q34)&lt;TODAY(),"Overdue",IF(INT($Q34)=TODAY(),"Today",IF(INT($Q34)&lt;=TODAY()+7,"Next 7 days","Later"))))))</x:f>
      </x:c>
      <x:c r="S34" s="57" t="str">
        <x:f>IF(OR($C34="",$P34=""),"",TODAY()-INT($P34))</x:f>
      </x:c>
      <x:c r="T34" s="54"/>
      <x:c r="U34" s="54"/>
      <x:c r="V34" s="63"/>
      <x:c r="W34" s="74"/>
      <x:c r="X34" s="77" t="str">
        <x:f>IF($C34="","",IFERROR(VLOOKUP($M34,'Lists &amp; Rules'!$L$5:$N$13,2,FALSE),0))</x:f>
      </x:c>
      <x:c r="Y34" s="80" t="str">
        <x:f>IF(OR($C34="",$W34=""),"",ROUND($W34*$X34,0))</x:f>
      </x:c>
      <x:c r="Z34" s="57" t="str">
        <x:f>IF($A34="","",COUNTIF('Activity Log'!$C$6:$C$1005,$A34))</x:f>
      </x:c>
      <x:c r="AA34" s="68"/>
      <x:c r="AB34" s="63"/>
    </x:row>
    <x:row r="35">
      <x:c r="A35" s="54"/>
      <x:c r="B35" s="68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  <x:c r="N35" s="54"/>
      <x:c r="O35" s="57" t="str">
        <x:f>IF($C35="","",MAX(0,MIN(100,IFERROR(VLOOKUP($L35,'Lists &amp; Rules'!$P$5:$Q$8,2,FALSE),0)+IFERROR(VLOOKUP($N35,'Lists &amp; Rules'!$S$5:$T$7,2,FALSE),0)+IFERROR(VLOOKUP($M35,'Lists &amp; Rules'!$L$5:$N$13,3,FALSE),0)+IF($R35="Overdue",-10,IF($R35="Today",5,0))+MIN(15,$Z35*3))))</x:f>
      </x:c>
      <x:c r="P35" s="71" t="str">
        <x:f>IF($A35="","",IF(COUNTIF('Activity Log'!$C$6:$C$1005,$A35)=0,"",MAXIFS('Activity Log'!$B$6:$B$1005,'Activity Log'!$C$6:$C$1005,$A35)))</x:f>
      </x:c>
      <x:c r="Q35" s="71" t="str">
        <x:f>IF($A35="","",IF(COUNTIFS('Activity Log'!$C$6:$C$1005,$A35,'Activity Log'!$J$6:$J$1005,"No",'Activity Log'!$I$6:$I$1005,"&gt;0")=0,"",MINIFS('Activity Log'!$I$6:$I$1005,'Activity Log'!$C$6:$C$1005,$A35,'Activity Log'!$J$6:$J$1005,"No",'Activity Log'!$I$6:$I$1005,"&gt;0")))</x:f>
      </x:c>
      <x:c r="R35" s="57" t="str">
        <x:f>IF($C35="","",IF(OR($K35="Won",$K35="Lost",$K35="Disqualified"),"Closed",IF($Q35="","No date",IF(INT($Q35)&lt;TODAY(),"Overdue",IF(INT($Q35)=TODAY(),"Today",IF(INT($Q35)&lt;=TODAY()+7,"Next 7 days","Later"))))))</x:f>
      </x:c>
      <x:c r="S35" s="57" t="str">
        <x:f>IF(OR($C35="",$P35=""),"",TODAY()-INT($P35))</x:f>
      </x:c>
      <x:c r="T35" s="54"/>
      <x:c r="U35" s="54"/>
      <x:c r="V35" s="63"/>
      <x:c r="W35" s="74"/>
      <x:c r="X35" s="77" t="str">
        <x:f>IF($C35="","",IFERROR(VLOOKUP($M35,'Lists &amp; Rules'!$L$5:$N$13,2,FALSE),0))</x:f>
      </x:c>
      <x:c r="Y35" s="80" t="str">
        <x:f>IF(OR($C35="",$W35=""),"",ROUND($W35*$X35,0))</x:f>
      </x:c>
      <x:c r="Z35" s="57" t="str">
        <x:f>IF($A35="","",COUNTIF('Activity Log'!$C$6:$C$1005,$A35))</x:f>
      </x:c>
      <x:c r="AA35" s="68"/>
      <x:c r="AB35" s="63"/>
    </x:row>
    <x:row r="36">
      <x:c r="A36" s="54"/>
      <x:c r="B36" s="68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  <x:c r="N36" s="54"/>
      <x:c r="O36" s="57" t="str">
        <x:f>IF($C36="","",MAX(0,MIN(100,IFERROR(VLOOKUP($L36,'Lists &amp; Rules'!$P$5:$Q$8,2,FALSE),0)+IFERROR(VLOOKUP($N36,'Lists &amp; Rules'!$S$5:$T$7,2,FALSE),0)+IFERROR(VLOOKUP($M36,'Lists &amp; Rules'!$L$5:$N$13,3,FALSE),0)+IF($R36="Overdue",-10,IF($R36="Today",5,0))+MIN(15,$Z36*3))))</x:f>
      </x:c>
      <x:c r="P36" s="71" t="str">
        <x:f>IF($A36="","",IF(COUNTIF('Activity Log'!$C$6:$C$1005,$A36)=0,"",MAXIFS('Activity Log'!$B$6:$B$1005,'Activity Log'!$C$6:$C$1005,$A36)))</x:f>
      </x:c>
      <x:c r="Q36" s="71" t="str">
        <x:f>IF($A36="","",IF(COUNTIFS('Activity Log'!$C$6:$C$1005,$A36,'Activity Log'!$J$6:$J$1005,"No",'Activity Log'!$I$6:$I$1005,"&gt;0")=0,"",MINIFS('Activity Log'!$I$6:$I$1005,'Activity Log'!$C$6:$C$1005,$A36,'Activity Log'!$J$6:$J$1005,"No",'Activity Log'!$I$6:$I$1005,"&gt;0")))</x:f>
      </x:c>
      <x:c r="R36" s="57" t="str">
        <x:f>IF($C36="","",IF(OR($K36="Won",$K36="Lost",$K36="Disqualified"),"Closed",IF($Q36="","No date",IF(INT($Q36)&lt;TODAY(),"Overdue",IF(INT($Q36)=TODAY(),"Today",IF(INT($Q36)&lt;=TODAY()+7,"Next 7 days","Later"))))))</x:f>
      </x:c>
      <x:c r="S36" s="57" t="str">
        <x:f>IF(OR($C36="",$P36=""),"",TODAY()-INT($P36))</x:f>
      </x:c>
      <x:c r="T36" s="54"/>
      <x:c r="U36" s="54"/>
      <x:c r="V36" s="63"/>
      <x:c r="W36" s="74"/>
      <x:c r="X36" s="77" t="str">
        <x:f>IF($C36="","",IFERROR(VLOOKUP($M36,'Lists &amp; Rules'!$L$5:$N$13,2,FALSE),0))</x:f>
      </x:c>
      <x:c r="Y36" s="80" t="str">
        <x:f>IF(OR($C36="",$W36=""),"",ROUND($W36*$X36,0))</x:f>
      </x:c>
      <x:c r="Z36" s="57" t="str">
        <x:f>IF($A36="","",COUNTIF('Activity Log'!$C$6:$C$1005,$A36))</x:f>
      </x:c>
      <x:c r="AA36" s="68"/>
      <x:c r="AB36" s="63"/>
    </x:row>
    <x:row r="37">
      <x:c r="A37" s="54"/>
      <x:c r="B37" s="68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7" t="str">
        <x:f>IF($C37="","",MAX(0,MIN(100,IFERROR(VLOOKUP($L37,'Lists &amp; Rules'!$P$5:$Q$8,2,FALSE),0)+IFERROR(VLOOKUP($N37,'Lists &amp; Rules'!$S$5:$T$7,2,FALSE),0)+IFERROR(VLOOKUP($M37,'Lists &amp; Rules'!$L$5:$N$13,3,FALSE),0)+IF($R37="Overdue",-10,IF($R37="Today",5,0))+MIN(15,$Z37*3))))</x:f>
      </x:c>
      <x:c r="P37" s="71" t="str">
        <x:f>IF($A37="","",IF(COUNTIF('Activity Log'!$C$6:$C$1005,$A37)=0,"",MAXIFS('Activity Log'!$B$6:$B$1005,'Activity Log'!$C$6:$C$1005,$A37)))</x:f>
      </x:c>
      <x:c r="Q37" s="71" t="str">
        <x:f>IF($A37="","",IF(COUNTIFS('Activity Log'!$C$6:$C$1005,$A37,'Activity Log'!$J$6:$J$1005,"No",'Activity Log'!$I$6:$I$1005,"&gt;0")=0,"",MINIFS('Activity Log'!$I$6:$I$1005,'Activity Log'!$C$6:$C$1005,$A37,'Activity Log'!$J$6:$J$1005,"No",'Activity Log'!$I$6:$I$1005,"&gt;0")))</x:f>
      </x:c>
      <x:c r="R37" s="57" t="str">
        <x:f>IF($C37="","",IF(OR($K37="Won",$K37="Lost",$K37="Disqualified"),"Closed",IF($Q37="","No date",IF(INT($Q37)&lt;TODAY(),"Overdue",IF(INT($Q37)=TODAY(),"Today",IF(INT($Q37)&lt;=TODAY()+7,"Next 7 days","Later"))))))</x:f>
      </x:c>
      <x:c r="S37" s="57" t="str">
        <x:f>IF(OR($C37="",$P37=""),"",TODAY()-INT($P37))</x:f>
      </x:c>
      <x:c r="T37" s="54"/>
      <x:c r="U37" s="54"/>
      <x:c r="V37" s="63"/>
      <x:c r="W37" s="74"/>
      <x:c r="X37" s="77" t="str">
        <x:f>IF($C37="","",IFERROR(VLOOKUP($M37,'Lists &amp; Rules'!$L$5:$N$13,2,FALSE),0))</x:f>
      </x:c>
      <x:c r="Y37" s="80" t="str">
        <x:f>IF(OR($C37="",$W37=""),"",ROUND($W37*$X37,0))</x:f>
      </x:c>
      <x:c r="Z37" s="57" t="str">
        <x:f>IF($A37="","",COUNTIF('Activity Log'!$C$6:$C$1005,$A37))</x:f>
      </x:c>
      <x:c r="AA37" s="68"/>
      <x:c r="AB37" s="63"/>
    </x:row>
    <x:row r="38">
      <x:c r="A38" s="54"/>
      <x:c r="B38" s="68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  <x:c r="N38" s="54"/>
      <x:c r="O38" s="57" t="str">
        <x:f>IF($C38="","",MAX(0,MIN(100,IFERROR(VLOOKUP($L38,'Lists &amp; Rules'!$P$5:$Q$8,2,FALSE),0)+IFERROR(VLOOKUP($N38,'Lists &amp; Rules'!$S$5:$T$7,2,FALSE),0)+IFERROR(VLOOKUP($M38,'Lists &amp; Rules'!$L$5:$N$13,3,FALSE),0)+IF($R38="Overdue",-10,IF($R38="Today",5,0))+MIN(15,$Z38*3))))</x:f>
      </x:c>
      <x:c r="P38" s="71" t="str">
        <x:f>IF($A38="","",IF(COUNTIF('Activity Log'!$C$6:$C$1005,$A38)=0,"",MAXIFS('Activity Log'!$B$6:$B$1005,'Activity Log'!$C$6:$C$1005,$A38)))</x:f>
      </x:c>
      <x:c r="Q38" s="71" t="str">
        <x:f>IF($A38="","",IF(COUNTIFS('Activity Log'!$C$6:$C$1005,$A38,'Activity Log'!$J$6:$J$1005,"No",'Activity Log'!$I$6:$I$1005,"&gt;0")=0,"",MINIFS('Activity Log'!$I$6:$I$1005,'Activity Log'!$C$6:$C$1005,$A38,'Activity Log'!$J$6:$J$1005,"No",'Activity Log'!$I$6:$I$1005,"&gt;0")))</x:f>
      </x:c>
      <x:c r="R38" s="57" t="str">
        <x:f>IF($C38="","",IF(OR($K38="Won",$K38="Lost",$K38="Disqualified"),"Closed",IF($Q38="","No date",IF(INT($Q38)&lt;TODAY(),"Overdue",IF(INT($Q38)=TODAY(),"Today",IF(INT($Q38)&lt;=TODAY()+7,"Next 7 days","Later"))))))</x:f>
      </x:c>
      <x:c r="S38" s="57" t="str">
        <x:f>IF(OR($C38="",$P38=""),"",TODAY()-INT($P38))</x:f>
      </x:c>
      <x:c r="T38" s="54"/>
      <x:c r="U38" s="54"/>
      <x:c r="V38" s="63"/>
      <x:c r="W38" s="74"/>
      <x:c r="X38" s="77" t="str">
        <x:f>IF($C38="","",IFERROR(VLOOKUP($M38,'Lists &amp; Rules'!$L$5:$N$13,2,FALSE),0))</x:f>
      </x:c>
      <x:c r="Y38" s="80" t="str">
        <x:f>IF(OR($C38="",$W38=""),"",ROUND($W38*$X38,0))</x:f>
      </x:c>
      <x:c r="Z38" s="57" t="str">
        <x:f>IF($A38="","",COUNTIF('Activity Log'!$C$6:$C$1005,$A38))</x:f>
      </x:c>
      <x:c r="AA38" s="68"/>
      <x:c r="AB38" s="63"/>
    </x:row>
    <x:row r="39">
      <x:c r="A39" s="54"/>
      <x:c r="B39" s="68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  <x:c r="N39" s="54"/>
      <x:c r="O39" s="57" t="str">
        <x:f>IF($C39="","",MAX(0,MIN(100,IFERROR(VLOOKUP($L39,'Lists &amp; Rules'!$P$5:$Q$8,2,FALSE),0)+IFERROR(VLOOKUP($N39,'Lists &amp; Rules'!$S$5:$T$7,2,FALSE),0)+IFERROR(VLOOKUP($M39,'Lists &amp; Rules'!$L$5:$N$13,3,FALSE),0)+IF($R39="Overdue",-10,IF($R39="Today",5,0))+MIN(15,$Z39*3))))</x:f>
      </x:c>
      <x:c r="P39" s="71" t="str">
        <x:f>IF($A39="","",IF(COUNTIF('Activity Log'!$C$6:$C$1005,$A39)=0,"",MAXIFS('Activity Log'!$B$6:$B$1005,'Activity Log'!$C$6:$C$1005,$A39)))</x:f>
      </x:c>
      <x:c r="Q39" s="71" t="str">
        <x:f>IF($A39="","",IF(COUNTIFS('Activity Log'!$C$6:$C$1005,$A39,'Activity Log'!$J$6:$J$1005,"No",'Activity Log'!$I$6:$I$1005,"&gt;0")=0,"",MINIFS('Activity Log'!$I$6:$I$1005,'Activity Log'!$C$6:$C$1005,$A39,'Activity Log'!$J$6:$J$1005,"No",'Activity Log'!$I$6:$I$1005,"&gt;0")))</x:f>
      </x:c>
      <x:c r="R39" s="57" t="str">
        <x:f>IF($C39="","",IF(OR($K39="Won",$K39="Lost",$K39="Disqualified"),"Closed",IF($Q39="","No date",IF(INT($Q39)&lt;TODAY(),"Overdue",IF(INT($Q39)=TODAY(),"Today",IF(INT($Q39)&lt;=TODAY()+7,"Next 7 days","Later"))))))</x:f>
      </x:c>
      <x:c r="S39" s="57" t="str">
        <x:f>IF(OR($C39="",$P39=""),"",TODAY()-INT($P39))</x:f>
      </x:c>
      <x:c r="T39" s="54"/>
      <x:c r="U39" s="54"/>
      <x:c r="V39" s="63"/>
      <x:c r="W39" s="74"/>
      <x:c r="X39" s="77" t="str">
        <x:f>IF($C39="","",IFERROR(VLOOKUP($M39,'Lists &amp; Rules'!$L$5:$N$13,2,FALSE),0))</x:f>
      </x:c>
      <x:c r="Y39" s="80" t="str">
        <x:f>IF(OR($C39="",$W39=""),"",ROUND($W39*$X39,0))</x:f>
      </x:c>
      <x:c r="Z39" s="57" t="str">
        <x:f>IF($A39="","",COUNTIF('Activity Log'!$C$6:$C$1005,$A39))</x:f>
      </x:c>
      <x:c r="AA39" s="68"/>
      <x:c r="AB39" s="63"/>
    </x:row>
    <x:row r="40">
      <x:c r="A40" s="54"/>
      <x:c r="B40" s="68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7" t="str">
        <x:f>IF($C40="","",MAX(0,MIN(100,IFERROR(VLOOKUP($L40,'Lists &amp; Rules'!$P$5:$Q$8,2,FALSE),0)+IFERROR(VLOOKUP($N40,'Lists &amp; Rules'!$S$5:$T$7,2,FALSE),0)+IFERROR(VLOOKUP($M40,'Lists &amp; Rules'!$L$5:$N$13,3,FALSE),0)+IF($R40="Overdue",-10,IF($R40="Today",5,0))+MIN(15,$Z40*3))))</x:f>
      </x:c>
      <x:c r="P40" s="71" t="str">
        <x:f>IF($A40="","",IF(COUNTIF('Activity Log'!$C$6:$C$1005,$A40)=0,"",MAXIFS('Activity Log'!$B$6:$B$1005,'Activity Log'!$C$6:$C$1005,$A40)))</x:f>
      </x:c>
      <x:c r="Q40" s="71" t="str">
        <x:f>IF($A40="","",IF(COUNTIFS('Activity Log'!$C$6:$C$1005,$A40,'Activity Log'!$J$6:$J$1005,"No",'Activity Log'!$I$6:$I$1005,"&gt;0")=0,"",MINIFS('Activity Log'!$I$6:$I$1005,'Activity Log'!$C$6:$C$1005,$A40,'Activity Log'!$J$6:$J$1005,"No",'Activity Log'!$I$6:$I$1005,"&gt;0")))</x:f>
      </x:c>
      <x:c r="R40" s="57" t="str">
        <x:f>IF($C40="","",IF(OR($K40="Won",$K40="Lost",$K40="Disqualified"),"Closed",IF($Q40="","No date",IF(INT($Q40)&lt;TODAY(),"Overdue",IF(INT($Q40)=TODAY(),"Today",IF(INT($Q40)&lt;=TODAY()+7,"Next 7 days","Later"))))))</x:f>
      </x:c>
      <x:c r="S40" s="57" t="str">
        <x:f>IF(OR($C40="",$P40=""),"",TODAY()-INT($P40))</x:f>
      </x:c>
      <x:c r="T40" s="54"/>
      <x:c r="U40" s="54"/>
      <x:c r="V40" s="63"/>
      <x:c r="W40" s="74"/>
      <x:c r="X40" s="77" t="str">
        <x:f>IF($C40="","",IFERROR(VLOOKUP($M40,'Lists &amp; Rules'!$L$5:$N$13,2,FALSE),0))</x:f>
      </x:c>
      <x:c r="Y40" s="80" t="str">
        <x:f>IF(OR($C40="",$W40=""),"",ROUND($W40*$X40,0))</x:f>
      </x:c>
      <x:c r="Z40" s="57" t="str">
        <x:f>IF($A40="","",COUNTIF('Activity Log'!$C$6:$C$1005,$A40))</x:f>
      </x:c>
      <x:c r="AA40" s="68"/>
      <x:c r="AB40" s="63"/>
    </x:row>
    <x:row r="41">
      <x:c r="A41" s="54"/>
      <x:c r="B41" s="68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7" t="str">
        <x:f>IF($C41="","",MAX(0,MIN(100,IFERROR(VLOOKUP($L41,'Lists &amp; Rules'!$P$5:$Q$8,2,FALSE),0)+IFERROR(VLOOKUP($N41,'Lists &amp; Rules'!$S$5:$T$7,2,FALSE),0)+IFERROR(VLOOKUP($M41,'Lists &amp; Rules'!$L$5:$N$13,3,FALSE),0)+IF($R41="Overdue",-10,IF($R41="Today",5,0))+MIN(15,$Z41*3))))</x:f>
      </x:c>
      <x:c r="P41" s="71" t="str">
        <x:f>IF($A41="","",IF(COUNTIF('Activity Log'!$C$6:$C$1005,$A41)=0,"",MAXIFS('Activity Log'!$B$6:$B$1005,'Activity Log'!$C$6:$C$1005,$A41)))</x:f>
      </x:c>
      <x:c r="Q41" s="71" t="str">
        <x:f>IF($A41="","",IF(COUNTIFS('Activity Log'!$C$6:$C$1005,$A41,'Activity Log'!$J$6:$J$1005,"No",'Activity Log'!$I$6:$I$1005,"&gt;0")=0,"",MINIFS('Activity Log'!$I$6:$I$1005,'Activity Log'!$C$6:$C$1005,$A41,'Activity Log'!$J$6:$J$1005,"No",'Activity Log'!$I$6:$I$1005,"&gt;0")))</x:f>
      </x:c>
      <x:c r="R41" s="57" t="str">
        <x:f>IF($C41="","",IF(OR($K41="Won",$K41="Lost",$K41="Disqualified"),"Closed",IF($Q41="","No date",IF(INT($Q41)&lt;TODAY(),"Overdue",IF(INT($Q41)=TODAY(),"Today",IF(INT($Q41)&lt;=TODAY()+7,"Next 7 days","Later"))))))</x:f>
      </x:c>
      <x:c r="S41" s="57" t="str">
        <x:f>IF(OR($C41="",$P41=""),"",TODAY()-INT($P41))</x:f>
      </x:c>
      <x:c r="T41" s="54"/>
      <x:c r="U41" s="54"/>
      <x:c r="V41" s="63"/>
      <x:c r="W41" s="74"/>
      <x:c r="X41" s="77" t="str">
        <x:f>IF($C41="","",IFERROR(VLOOKUP($M41,'Lists &amp; Rules'!$L$5:$N$13,2,FALSE),0))</x:f>
      </x:c>
      <x:c r="Y41" s="80" t="str">
        <x:f>IF(OR($C41="",$W41=""),"",ROUND($W41*$X41,0))</x:f>
      </x:c>
      <x:c r="Z41" s="57" t="str">
        <x:f>IF($A41="","",COUNTIF('Activity Log'!$C$6:$C$1005,$A41))</x:f>
      </x:c>
      <x:c r="AA41" s="68"/>
      <x:c r="AB41" s="63"/>
    </x:row>
    <x:row r="42">
      <x:c r="A42" s="54"/>
      <x:c r="B42" s="68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  <x:c r="N42" s="54"/>
      <x:c r="O42" s="57" t="str">
        <x:f>IF($C42="","",MAX(0,MIN(100,IFERROR(VLOOKUP($L42,'Lists &amp; Rules'!$P$5:$Q$8,2,FALSE),0)+IFERROR(VLOOKUP($N42,'Lists &amp; Rules'!$S$5:$T$7,2,FALSE),0)+IFERROR(VLOOKUP($M42,'Lists &amp; Rules'!$L$5:$N$13,3,FALSE),0)+IF($R42="Overdue",-10,IF($R42="Today",5,0))+MIN(15,$Z42*3))))</x:f>
      </x:c>
      <x:c r="P42" s="71" t="str">
        <x:f>IF($A42="","",IF(COUNTIF('Activity Log'!$C$6:$C$1005,$A42)=0,"",MAXIFS('Activity Log'!$B$6:$B$1005,'Activity Log'!$C$6:$C$1005,$A42)))</x:f>
      </x:c>
      <x:c r="Q42" s="71" t="str">
        <x:f>IF($A42="","",IF(COUNTIFS('Activity Log'!$C$6:$C$1005,$A42,'Activity Log'!$J$6:$J$1005,"No",'Activity Log'!$I$6:$I$1005,"&gt;0")=0,"",MINIFS('Activity Log'!$I$6:$I$1005,'Activity Log'!$C$6:$C$1005,$A42,'Activity Log'!$J$6:$J$1005,"No",'Activity Log'!$I$6:$I$1005,"&gt;0")))</x:f>
      </x:c>
      <x:c r="R42" s="57" t="str">
        <x:f>IF($C42="","",IF(OR($K42="Won",$K42="Lost",$K42="Disqualified"),"Closed",IF($Q42="","No date",IF(INT($Q42)&lt;TODAY(),"Overdue",IF(INT($Q42)=TODAY(),"Today",IF(INT($Q42)&lt;=TODAY()+7,"Next 7 days","Later"))))))</x:f>
      </x:c>
      <x:c r="S42" s="57" t="str">
        <x:f>IF(OR($C42="",$P42=""),"",TODAY()-INT($P42))</x:f>
      </x:c>
      <x:c r="T42" s="54"/>
      <x:c r="U42" s="54"/>
      <x:c r="V42" s="63"/>
      <x:c r="W42" s="74"/>
      <x:c r="X42" s="77" t="str">
        <x:f>IF($C42="","",IFERROR(VLOOKUP($M42,'Lists &amp; Rules'!$L$5:$N$13,2,FALSE),0))</x:f>
      </x:c>
      <x:c r="Y42" s="80" t="str">
        <x:f>IF(OR($C42="",$W42=""),"",ROUND($W42*$X42,0))</x:f>
      </x:c>
      <x:c r="Z42" s="57" t="str">
        <x:f>IF($A42="","",COUNTIF('Activity Log'!$C$6:$C$1005,$A42))</x:f>
      </x:c>
      <x:c r="AA42" s="68"/>
      <x:c r="AB42" s="63"/>
    </x:row>
    <x:row r="43">
      <x:c r="A43" s="54"/>
      <x:c r="B43" s="68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  <x:c r="N43" s="54"/>
      <x:c r="O43" s="57" t="str">
        <x:f>IF($C43="","",MAX(0,MIN(100,IFERROR(VLOOKUP($L43,'Lists &amp; Rules'!$P$5:$Q$8,2,FALSE),0)+IFERROR(VLOOKUP($N43,'Lists &amp; Rules'!$S$5:$T$7,2,FALSE),0)+IFERROR(VLOOKUP($M43,'Lists &amp; Rules'!$L$5:$N$13,3,FALSE),0)+IF($R43="Overdue",-10,IF($R43="Today",5,0))+MIN(15,$Z43*3))))</x:f>
      </x:c>
      <x:c r="P43" s="71" t="str">
        <x:f>IF($A43="","",IF(COUNTIF('Activity Log'!$C$6:$C$1005,$A43)=0,"",MAXIFS('Activity Log'!$B$6:$B$1005,'Activity Log'!$C$6:$C$1005,$A43)))</x:f>
      </x:c>
      <x:c r="Q43" s="71" t="str">
        <x:f>IF($A43="","",IF(COUNTIFS('Activity Log'!$C$6:$C$1005,$A43,'Activity Log'!$J$6:$J$1005,"No",'Activity Log'!$I$6:$I$1005,"&gt;0")=0,"",MINIFS('Activity Log'!$I$6:$I$1005,'Activity Log'!$C$6:$C$1005,$A43,'Activity Log'!$J$6:$J$1005,"No",'Activity Log'!$I$6:$I$1005,"&gt;0")))</x:f>
      </x:c>
      <x:c r="R43" s="57" t="str">
        <x:f>IF($C43="","",IF(OR($K43="Won",$K43="Lost",$K43="Disqualified"),"Closed",IF($Q43="","No date",IF(INT($Q43)&lt;TODAY(),"Overdue",IF(INT($Q43)=TODAY(),"Today",IF(INT($Q43)&lt;=TODAY()+7,"Next 7 days","Later"))))))</x:f>
      </x:c>
      <x:c r="S43" s="57" t="str">
        <x:f>IF(OR($C43="",$P43=""),"",TODAY()-INT($P43))</x:f>
      </x:c>
      <x:c r="T43" s="54"/>
      <x:c r="U43" s="54"/>
      <x:c r="V43" s="63"/>
      <x:c r="W43" s="74"/>
      <x:c r="X43" s="77" t="str">
        <x:f>IF($C43="","",IFERROR(VLOOKUP($M43,'Lists &amp; Rules'!$L$5:$N$13,2,FALSE),0))</x:f>
      </x:c>
      <x:c r="Y43" s="80" t="str">
        <x:f>IF(OR($C43="",$W43=""),"",ROUND($W43*$X43,0))</x:f>
      </x:c>
      <x:c r="Z43" s="57" t="str">
        <x:f>IF($A43="","",COUNTIF('Activity Log'!$C$6:$C$1005,$A43))</x:f>
      </x:c>
      <x:c r="AA43" s="68"/>
      <x:c r="AB43" s="63"/>
    </x:row>
    <x:row r="44">
      <x:c r="A44" s="54"/>
      <x:c r="B44" s="68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7" t="str">
        <x:f>IF($C44="","",MAX(0,MIN(100,IFERROR(VLOOKUP($L44,'Lists &amp; Rules'!$P$5:$Q$8,2,FALSE),0)+IFERROR(VLOOKUP($N44,'Lists &amp; Rules'!$S$5:$T$7,2,FALSE),0)+IFERROR(VLOOKUP($M44,'Lists &amp; Rules'!$L$5:$N$13,3,FALSE),0)+IF($R44="Overdue",-10,IF($R44="Today",5,0))+MIN(15,$Z44*3))))</x:f>
      </x:c>
      <x:c r="P44" s="71" t="str">
        <x:f>IF($A44="","",IF(COUNTIF('Activity Log'!$C$6:$C$1005,$A44)=0,"",MAXIFS('Activity Log'!$B$6:$B$1005,'Activity Log'!$C$6:$C$1005,$A44)))</x:f>
      </x:c>
      <x:c r="Q44" s="71" t="str">
        <x:f>IF($A44="","",IF(COUNTIFS('Activity Log'!$C$6:$C$1005,$A44,'Activity Log'!$J$6:$J$1005,"No",'Activity Log'!$I$6:$I$1005,"&gt;0")=0,"",MINIFS('Activity Log'!$I$6:$I$1005,'Activity Log'!$C$6:$C$1005,$A44,'Activity Log'!$J$6:$J$1005,"No",'Activity Log'!$I$6:$I$1005,"&gt;0")))</x:f>
      </x:c>
      <x:c r="R44" s="57" t="str">
        <x:f>IF($C44="","",IF(OR($K44="Won",$K44="Lost",$K44="Disqualified"),"Closed",IF($Q44="","No date",IF(INT($Q44)&lt;TODAY(),"Overdue",IF(INT($Q44)=TODAY(),"Today",IF(INT($Q44)&lt;=TODAY()+7,"Next 7 days","Later"))))))</x:f>
      </x:c>
      <x:c r="S44" s="57" t="str">
        <x:f>IF(OR($C44="",$P44=""),"",TODAY()-INT($P44))</x:f>
      </x:c>
      <x:c r="T44" s="54"/>
      <x:c r="U44" s="54"/>
      <x:c r="V44" s="63"/>
      <x:c r="W44" s="74"/>
      <x:c r="X44" s="77" t="str">
        <x:f>IF($C44="","",IFERROR(VLOOKUP($M44,'Lists &amp; Rules'!$L$5:$N$13,2,FALSE),0))</x:f>
      </x:c>
      <x:c r="Y44" s="80" t="str">
        <x:f>IF(OR($C44="",$W44=""),"",ROUND($W44*$X44,0))</x:f>
      </x:c>
      <x:c r="Z44" s="57" t="str">
        <x:f>IF($A44="","",COUNTIF('Activity Log'!$C$6:$C$1005,$A44))</x:f>
      </x:c>
      <x:c r="AA44" s="68"/>
      <x:c r="AB44" s="63"/>
    </x:row>
    <x:row r="45">
      <x:c r="A45" s="54"/>
      <x:c r="B45" s="68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7" t="str">
        <x:f>IF($C45="","",MAX(0,MIN(100,IFERROR(VLOOKUP($L45,'Lists &amp; Rules'!$P$5:$Q$8,2,FALSE),0)+IFERROR(VLOOKUP($N45,'Lists &amp; Rules'!$S$5:$T$7,2,FALSE),0)+IFERROR(VLOOKUP($M45,'Lists &amp; Rules'!$L$5:$N$13,3,FALSE),0)+IF($R45="Overdue",-10,IF($R45="Today",5,0))+MIN(15,$Z45*3))))</x:f>
      </x:c>
      <x:c r="P45" s="71" t="str">
        <x:f>IF($A45="","",IF(COUNTIF('Activity Log'!$C$6:$C$1005,$A45)=0,"",MAXIFS('Activity Log'!$B$6:$B$1005,'Activity Log'!$C$6:$C$1005,$A45)))</x:f>
      </x:c>
      <x:c r="Q45" s="71" t="str">
        <x:f>IF($A45="","",IF(COUNTIFS('Activity Log'!$C$6:$C$1005,$A45,'Activity Log'!$J$6:$J$1005,"No",'Activity Log'!$I$6:$I$1005,"&gt;0")=0,"",MINIFS('Activity Log'!$I$6:$I$1005,'Activity Log'!$C$6:$C$1005,$A45,'Activity Log'!$J$6:$J$1005,"No",'Activity Log'!$I$6:$I$1005,"&gt;0")))</x:f>
      </x:c>
      <x:c r="R45" s="57" t="str">
        <x:f>IF($C45="","",IF(OR($K45="Won",$K45="Lost",$K45="Disqualified"),"Closed",IF($Q45="","No date",IF(INT($Q45)&lt;TODAY(),"Overdue",IF(INT($Q45)=TODAY(),"Today",IF(INT($Q45)&lt;=TODAY()+7,"Next 7 days","Later"))))))</x:f>
      </x:c>
      <x:c r="S45" s="57" t="str">
        <x:f>IF(OR($C45="",$P45=""),"",TODAY()-INT($P45))</x:f>
      </x:c>
      <x:c r="T45" s="54"/>
      <x:c r="U45" s="54"/>
      <x:c r="V45" s="63"/>
      <x:c r="W45" s="74"/>
      <x:c r="X45" s="77" t="str">
        <x:f>IF($C45="","",IFERROR(VLOOKUP($M45,'Lists &amp; Rules'!$L$5:$N$13,2,FALSE),0))</x:f>
      </x:c>
      <x:c r="Y45" s="80" t="str">
        <x:f>IF(OR($C45="",$W45=""),"",ROUND($W45*$X45,0))</x:f>
      </x:c>
      <x:c r="Z45" s="57" t="str">
        <x:f>IF($A45="","",COUNTIF('Activity Log'!$C$6:$C$1005,$A45))</x:f>
      </x:c>
      <x:c r="AA45" s="68"/>
      <x:c r="AB45" s="63"/>
    </x:row>
    <x:row r="46">
      <x:c r="A46" s="54"/>
      <x:c r="B46" s="68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7" t="str">
        <x:f>IF($C46="","",MAX(0,MIN(100,IFERROR(VLOOKUP($L46,'Lists &amp; Rules'!$P$5:$Q$8,2,FALSE),0)+IFERROR(VLOOKUP($N46,'Lists &amp; Rules'!$S$5:$T$7,2,FALSE),0)+IFERROR(VLOOKUP($M46,'Lists &amp; Rules'!$L$5:$N$13,3,FALSE),0)+IF($R46="Overdue",-10,IF($R46="Today",5,0))+MIN(15,$Z46*3))))</x:f>
      </x:c>
      <x:c r="P46" s="71" t="str">
        <x:f>IF($A46="","",IF(COUNTIF('Activity Log'!$C$6:$C$1005,$A46)=0,"",MAXIFS('Activity Log'!$B$6:$B$1005,'Activity Log'!$C$6:$C$1005,$A46)))</x:f>
      </x:c>
      <x:c r="Q46" s="71" t="str">
        <x:f>IF($A46="","",IF(COUNTIFS('Activity Log'!$C$6:$C$1005,$A46,'Activity Log'!$J$6:$J$1005,"No",'Activity Log'!$I$6:$I$1005,"&gt;0")=0,"",MINIFS('Activity Log'!$I$6:$I$1005,'Activity Log'!$C$6:$C$1005,$A46,'Activity Log'!$J$6:$J$1005,"No",'Activity Log'!$I$6:$I$1005,"&gt;0")))</x:f>
      </x:c>
      <x:c r="R46" s="57" t="str">
        <x:f>IF($C46="","",IF(OR($K46="Won",$K46="Lost",$K46="Disqualified"),"Closed",IF($Q46="","No date",IF(INT($Q46)&lt;TODAY(),"Overdue",IF(INT($Q46)=TODAY(),"Today",IF(INT($Q46)&lt;=TODAY()+7,"Next 7 days","Later"))))))</x:f>
      </x:c>
      <x:c r="S46" s="57" t="str">
        <x:f>IF(OR($C46="",$P46=""),"",TODAY()-INT($P46))</x:f>
      </x:c>
      <x:c r="T46" s="54"/>
      <x:c r="U46" s="54"/>
      <x:c r="V46" s="63"/>
      <x:c r="W46" s="74"/>
      <x:c r="X46" s="77" t="str">
        <x:f>IF($C46="","",IFERROR(VLOOKUP($M46,'Lists &amp; Rules'!$L$5:$N$13,2,FALSE),0))</x:f>
      </x:c>
      <x:c r="Y46" s="80" t="str">
        <x:f>IF(OR($C46="",$W46=""),"",ROUND($W46*$X46,0))</x:f>
      </x:c>
      <x:c r="Z46" s="57" t="str">
        <x:f>IF($A46="","",COUNTIF('Activity Log'!$C$6:$C$1005,$A46))</x:f>
      </x:c>
      <x:c r="AA46" s="68"/>
      <x:c r="AB46" s="63"/>
    </x:row>
    <x:row r="47">
      <x:c r="A47" s="54"/>
      <x:c r="B47" s="68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7" t="str">
        <x:f>IF($C47="","",MAX(0,MIN(100,IFERROR(VLOOKUP($L47,'Lists &amp; Rules'!$P$5:$Q$8,2,FALSE),0)+IFERROR(VLOOKUP($N47,'Lists &amp; Rules'!$S$5:$T$7,2,FALSE),0)+IFERROR(VLOOKUP($M47,'Lists &amp; Rules'!$L$5:$N$13,3,FALSE),0)+IF($R47="Overdue",-10,IF($R47="Today",5,0))+MIN(15,$Z47*3))))</x:f>
      </x:c>
      <x:c r="P47" s="71" t="str">
        <x:f>IF($A47="","",IF(COUNTIF('Activity Log'!$C$6:$C$1005,$A47)=0,"",MAXIFS('Activity Log'!$B$6:$B$1005,'Activity Log'!$C$6:$C$1005,$A47)))</x:f>
      </x:c>
      <x:c r="Q47" s="71" t="str">
        <x:f>IF($A47="","",IF(COUNTIFS('Activity Log'!$C$6:$C$1005,$A47,'Activity Log'!$J$6:$J$1005,"No",'Activity Log'!$I$6:$I$1005,"&gt;0")=0,"",MINIFS('Activity Log'!$I$6:$I$1005,'Activity Log'!$C$6:$C$1005,$A47,'Activity Log'!$J$6:$J$1005,"No",'Activity Log'!$I$6:$I$1005,"&gt;0")))</x:f>
      </x:c>
      <x:c r="R47" s="57" t="str">
        <x:f>IF($C47="","",IF(OR($K47="Won",$K47="Lost",$K47="Disqualified"),"Closed",IF($Q47="","No date",IF(INT($Q47)&lt;TODAY(),"Overdue",IF(INT($Q47)=TODAY(),"Today",IF(INT($Q47)&lt;=TODAY()+7,"Next 7 days","Later"))))))</x:f>
      </x:c>
      <x:c r="S47" s="57" t="str">
        <x:f>IF(OR($C47="",$P47=""),"",TODAY()-INT($P47))</x:f>
      </x:c>
      <x:c r="T47" s="54"/>
      <x:c r="U47" s="54"/>
      <x:c r="V47" s="63"/>
      <x:c r="W47" s="74"/>
      <x:c r="X47" s="77" t="str">
        <x:f>IF($C47="","",IFERROR(VLOOKUP($M47,'Lists &amp; Rules'!$L$5:$N$13,2,FALSE),0))</x:f>
      </x:c>
      <x:c r="Y47" s="80" t="str">
        <x:f>IF(OR($C47="",$W47=""),"",ROUND($W47*$X47,0))</x:f>
      </x:c>
      <x:c r="Z47" s="57" t="str">
        <x:f>IF($A47="","",COUNTIF('Activity Log'!$C$6:$C$1005,$A47))</x:f>
      </x:c>
      <x:c r="AA47" s="68"/>
      <x:c r="AB47" s="63"/>
    </x:row>
    <x:row r="48">
      <x:c r="A48" s="54"/>
      <x:c r="B48" s="68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7" t="str">
        <x:f>IF($C48="","",MAX(0,MIN(100,IFERROR(VLOOKUP($L48,'Lists &amp; Rules'!$P$5:$Q$8,2,FALSE),0)+IFERROR(VLOOKUP($N48,'Lists &amp; Rules'!$S$5:$T$7,2,FALSE),0)+IFERROR(VLOOKUP($M48,'Lists &amp; Rules'!$L$5:$N$13,3,FALSE),0)+IF($R48="Overdue",-10,IF($R48="Today",5,0))+MIN(15,$Z48*3))))</x:f>
      </x:c>
      <x:c r="P48" s="71" t="str">
        <x:f>IF($A48="","",IF(COUNTIF('Activity Log'!$C$6:$C$1005,$A48)=0,"",MAXIFS('Activity Log'!$B$6:$B$1005,'Activity Log'!$C$6:$C$1005,$A48)))</x:f>
      </x:c>
      <x:c r="Q48" s="71" t="str">
        <x:f>IF($A48="","",IF(COUNTIFS('Activity Log'!$C$6:$C$1005,$A48,'Activity Log'!$J$6:$J$1005,"No",'Activity Log'!$I$6:$I$1005,"&gt;0")=0,"",MINIFS('Activity Log'!$I$6:$I$1005,'Activity Log'!$C$6:$C$1005,$A48,'Activity Log'!$J$6:$J$1005,"No",'Activity Log'!$I$6:$I$1005,"&gt;0")))</x:f>
      </x:c>
      <x:c r="R48" s="57" t="str">
        <x:f>IF($C48="","",IF(OR($K48="Won",$K48="Lost",$K48="Disqualified"),"Closed",IF($Q48="","No date",IF(INT($Q48)&lt;TODAY(),"Overdue",IF(INT($Q48)=TODAY(),"Today",IF(INT($Q48)&lt;=TODAY()+7,"Next 7 days","Later"))))))</x:f>
      </x:c>
      <x:c r="S48" s="57" t="str">
        <x:f>IF(OR($C48="",$P48=""),"",TODAY()-INT($P48))</x:f>
      </x:c>
      <x:c r="T48" s="54"/>
      <x:c r="U48" s="54"/>
      <x:c r="V48" s="63"/>
      <x:c r="W48" s="74"/>
      <x:c r="X48" s="77" t="str">
        <x:f>IF($C48="","",IFERROR(VLOOKUP($M48,'Lists &amp; Rules'!$L$5:$N$13,2,FALSE),0))</x:f>
      </x:c>
      <x:c r="Y48" s="80" t="str">
        <x:f>IF(OR($C48="",$W48=""),"",ROUND($W48*$X48,0))</x:f>
      </x:c>
      <x:c r="Z48" s="57" t="str">
        <x:f>IF($A48="","",COUNTIF('Activity Log'!$C$6:$C$1005,$A48))</x:f>
      </x:c>
      <x:c r="AA48" s="68"/>
      <x:c r="AB48" s="63"/>
    </x:row>
    <x:row r="49">
      <x:c r="A49" s="54"/>
      <x:c r="B49" s="68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7" t="str">
        <x:f>IF($C49="","",MAX(0,MIN(100,IFERROR(VLOOKUP($L49,'Lists &amp; Rules'!$P$5:$Q$8,2,FALSE),0)+IFERROR(VLOOKUP($N49,'Lists &amp; Rules'!$S$5:$T$7,2,FALSE),0)+IFERROR(VLOOKUP($M49,'Lists &amp; Rules'!$L$5:$N$13,3,FALSE),0)+IF($R49="Overdue",-10,IF($R49="Today",5,0))+MIN(15,$Z49*3))))</x:f>
      </x:c>
      <x:c r="P49" s="71" t="str">
        <x:f>IF($A49="","",IF(COUNTIF('Activity Log'!$C$6:$C$1005,$A49)=0,"",MAXIFS('Activity Log'!$B$6:$B$1005,'Activity Log'!$C$6:$C$1005,$A49)))</x:f>
      </x:c>
      <x:c r="Q49" s="71" t="str">
        <x:f>IF($A49="","",IF(COUNTIFS('Activity Log'!$C$6:$C$1005,$A49,'Activity Log'!$J$6:$J$1005,"No",'Activity Log'!$I$6:$I$1005,"&gt;0")=0,"",MINIFS('Activity Log'!$I$6:$I$1005,'Activity Log'!$C$6:$C$1005,$A49,'Activity Log'!$J$6:$J$1005,"No",'Activity Log'!$I$6:$I$1005,"&gt;0")))</x:f>
      </x:c>
      <x:c r="R49" s="57" t="str">
        <x:f>IF($C49="","",IF(OR($K49="Won",$K49="Lost",$K49="Disqualified"),"Closed",IF($Q49="","No date",IF(INT($Q49)&lt;TODAY(),"Overdue",IF(INT($Q49)=TODAY(),"Today",IF(INT($Q49)&lt;=TODAY()+7,"Next 7 days","Later"))))))</x:f>
      </x:c>
      <x:c r="S49" s="57" t="str">
        <x:f>IF(OR($C49="",$P49=""),"",TODAY()-INT($P49))</x:f>
      </x:c>
      <x:c r="T49" s="54"/>
      <x:c r="U49" s="54"/>
      <x:c r="V49" s="63"/>
      <x:c r="W49" s="74"/>
      <x:c r="X49" s="77" t="str">
        <x:f>IF($C49="","",IFERROR(VLOOKUP($M49,'Lists &amp; Rules'!$L$5:$N$13,2,FALSE),0))</x:f>
      </x:c>
      <x:c r="Y49" s="80" t="str">
        <x:f>IF(OR($C49="",$W49=""),"",ROUND($W49*$X49,0))</x:f>
      </x:c>
      <x:c r="Z49" s="57" t="str">
        <x:f>IF($A49="","",COUNTIF('Activity Log'!$C$6:$C$1005,$A49))</x:f>
      </x:c>
      <x:c r="AA49" s="68"/>
      <x:c r="AB49" s="63"/>
    </x:row>
    <x:row r="50">
      <x:c r="A50" s="54"/>
      <x:c r="B50" s="68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  <x:c r="N50" s="54"/>
      <x:c r="O50" s="57" t="str">
        <x:f>IF($C50="","",MAX(0,MIN(100,IFERROR(VLOOKUP($L50,'Lists &amp; Rules'!$P$5:$Q$8,2,FALSE),0)+IFERROR(VLOOKUP($N50,'Lists &amp; Rules'!$S$5:$T$7,2,FALSE),0)+IFERROR(VLOOKUP($M50,'Lists &amp; Rules'!$L$5:$N$13,3,FALSE),0)+IF($R50="Overdue",-10,IF($R50="Today",5,0))+MIN(15,$Z50*3))))</x:f>
      </x:c>
      <x:c r="P50" s="71" t="str">
        <x:f>IF($A50="","",IF(COUNTIF('Activity Log'!$C$6:$C$1005,$A50)=0,"",MAXIFS('Activity Log'!$B$6:$B$1005,'Activity Log'!$C$6:$C$1005,$A50)))</x:f>
      </x:c>
      <x:c r="Q50" s="71" t="str">
        <x:f>IF($A50="","",IF(COUNTIFS('Activity Log'!$C$6:$C$1005,$A50,'Activity Log'!$J$6:$J$1005,"No",'Activity Log'!$I$6:$I$1005,"&gt;0")=0,"",MINIFS('Activity Log'!$I$6:$I$1005,'Activity Log'!$C$6:$C$1005,$A50,'Activity Log'!$J$6:$J$1005,"No",'Activity Log'!$I$6:$I$1005,"&gt;0")))</x:f>
      </x:c>
      <x:c r="R50" s="57" t="str">
        <x:f>IF($C50="","",IF(OR($K50="Won",$K50="Lost",$K50="Disqualified"),"Closed",IF($Q50="","No date",IF(INT($Q50)&lt;TODAY(),"Overdue",IF(INT($Q50)=TODAY(),"Today",IF(INT($Q50)&lt;=TODAY()+7,"Next 7 days","Later"))))))</x:f>
      </x:c>
      <x:c r="S50" s="57" t="str">
        <x:f>IF(OR($C50="",$P50=""),"",TODAY()-INT($P50))</x:f>
      </x:c>
      <x:c r="T50" s="54"/>
      <x:c r="U50" s="54"/>
      <x:c r="V50" s="63"/>
      <x:c r="W50" s="74"/>
      <x:c r="X50" s="77" t="str">
        <x:f>IF($C50="","",IFERROR(VLOOKUP($M50,'Lists &amp; Rules'!$L$5:$N$13,2,FALSE),0))</x:f>
      </x:c>
      <x:c r="Y50" s="80" t="str">
        <x:f>IF(OR($C50="",$W50=""),"",ROUND($W50*$X50,0))</x:f>
      </x:c>
      <x:c r="Z50" s="57" t="str">
        <x:f>IF($A50="","",COUNTIF('Activity Log'!$C$6:$C$1005,$A50))</x:f>
      </x:c>
      <x:c r="AA50" s="68"/>
      <x:c r="AB50" s="63"/>
    </x:row>
    <x:row r="51">
      <x:c r="A51" s="54"/>
      <x:c r="B51" s="68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  <x:c r="N51" s="54"/>
      <x:c r="O51" s="57" t="str">
        <x:f>IF($C51="","",MAX(0,MIN(100,IFERROR(VLOOKUP($L51,'Lists &amp; Rules'!$P$5:$Q$8,2,FALSE),0)+IFERROR(VLOOKUP($N51,'Lists &amp; Rules'!$S$5:$T$7,2,FALSE),0)+IFERROR(VLOOKUP($M51,'Lists &amp; Rules'!$L$5:$N$13,3,FALSE),0)+IF($R51="Overdue",-10,IF($R51="Today",5,0))+MIN(15,$Z51*3))))</x:f>
      </x:c>
      <x:c r="P51" s="71" t="str">
        <x:f>IF($A51="","",IF(COUNTIF('Activity Log'!$C$6:$C$1005,$A51)=0,"",MAXIFS('Activity Log'!$B$6:$B$1005,'Activity Log'!$C$6:$C$1005,$A51)))</x:f>
      </x:c>
      <x:c r="Q51" s="71" t="str">
        <x:f>IF($A51="","",IF(COUNTIFS('Activity Log'!$C$6:$C$1005,$A51,'Activity Log'!$J$6:$J$1005,"No",'Activity Log'!$I$6:$I$1005,"&gt;0")=0,"",MINIFS('Activity Log'!$I$6:$I$1005,'Activity Log'!$C$6:$C$1005,$A51,'Activity Log'!$J$6:$J$1005,"No",'Activity Log'!$I$6:$I$1005,"&gt;0")))</x:f>
      </x:c>
      <x:c r="R51" s="57" t="str">
        <x:f>IF($C51="","",IF(OR($K51="Won",$K51="Lost",$K51="Disqualified"),"Closed",IF($Q51="","No date",IF(INT($Q51)&lt;TODAY(),"Overdue",IF(INT($Q51)=TODAY(),"Today",IF(INT($Q51)&lt;=TODAY()+7,"Next 7 days","Later"))))))</x:f>
      </x:c>
      <x:c r="S51" s="57" t="str">
        <x:f>IF(OR($C51="",$P51=""),"",TODAY()-INT($P51))</x:f>
      </x:c>
      <x:c r="T51" s="54"/>
      <x:c r="U51" s="54"/>
      <x:c r="V51" s="63"/>
      <x:c r="W51" s="74"/>
      <x:c r="X51" s="77" t="str">
        <x:f>IF($C51="","",IFERROR(VLOOKUP($M51,'Lists &amp; Rules'!$L$5:$N$13,2,FALSE),0))</x:f>
      </x:c>
      <x:c r="Y51" s="80" t="str">
        <x:f>IF(OR($C51="",$W51=""),"",ROUND($W51*$X51,0))</x:f>
      </x:c>
      <x:c r="Z51" s="57" t="str">
        <x:f>IF($A51="","",COUNTIF('Activity Log'!$C$6:$C$1005,$A51))</x:f>
      </x:c>
      <x:c r="AA51" s="68"/>
      <x:c r="AB51" s="63"/>
    </x:row>
    <x:row r="52">
      <x:c r="A52" s="54"/>
      <x:c r="B52" s="68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  <x:c r="N52" s="54"/>
      <x:c r="O52" s="57" t="str">
        <x:f>IF($C52="","",MAX(0,MIN(100,IFERROR(VLOOKUP($L52,'Lists &amp; Rules'!$P$5:$Q$8,2,FALSE),0)+IFERROR(VLOOKUP($N52,'Lists &amp; Rules'!$S$5:$T$7,2,FALSE),0)+IFERROR(VLOOKUP($M52,'Lists &amp; Rules'!$L$5:$N$13,3,FALSE),0)+IF($R52="Overdue",-10,IF($R52="Today",5,0))+MIN(15,$Z52*3))))</x:f>
      </x:c>
      <x:c r="P52" s="71" t="str">
        <x:f>IF($A52="","",IF(COUNTIF('Activity Log'!$C$6:$C$1005,$A52)=0,"",MAXIFS('Activity Log'!$B$6:$B$1005,'Activity Log'!$C$6:$C$1005,$A52)))</x:f>
      </x:c>
      <x:c r="Q52" s="71" t="str">
        <x:f>IF($A52="","",IF(COUNTIFS('Activity Log'!$C$6:$C$1005,$A52,'Activity Log'!$J$6:$J$1005,"No",'Activity Log'!$I$6:$I$1005,"&gt;0")=0,"",MINIFS('Activity Log'!$I$6:$I$1005,'Activity Log'!$C$6:$C$1005,$A52,'Activity Log'!$J$6:$J$1005,"No",'Activity Log'!$I$6:$I$1005,"&gt;0")))</x:f>
      </x:c>
      <x:c r="R52" s="57" t="str">
        <x:f>IF($C52="","",IF(OR($K52="Won",$K52="Lost",$K52="Disqualified"),"Closed",IF($Q52="","No date",IF(INT($Q52)&lt;TODAY(),"Overdue",IF(INT($Q52)=TODAY(),"Today",IF(INT($Q52)&lt;=TODAY()+7,"Next 7 days","Later"))))))</x:f>
      </x:c>
      <x:c r="S52" s="57" t="str">
        <x:f>IF(OR($C52="",$P52=""),"",TODAY()-INT($P52))</x:f>
      </x:c>
      <x:c r="T52" s="54"/>
      <x:c r="U52" s="54"/>
      <x:c r="V52" s="63"/>
      <x:c r="W52" s="74"/>
      <x:c r="X52" s="77" t="str">
        <x:f>IF($C52="","",IFERROR(VLOOKUP($M52,'Lists &amp; Rules'!$L$5:$N$13,2,FALSE),0))</x:f>
      </x:c>
      <x:c r="Y52" s="80" t="str">
        <x:f>IF(OR($C52="",$W52=""),"",ROUND($W52*$X52,0))</x:f>
      </x:c>
      <x:c r="Z52" s="57" t="str">
        <x:f>IF($A52="","",COUNTIF('Activity Log'!$C$6:$C$1005,$A52))</x:f>
      </x:c>
      <x:c r="AA52" s="68"/>
      <x:c r="AB52" s="63"/>
    </x:row>
    <x:row r="53">
      <x:c r="A53" s="54"/>
      <x:c r="B53" s="68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  <x:c r="N53" s="54"/>
      <x:c r="O53" s="57" t="str">
        <x:f>IF($C53="","",MAX(0,MIN(100,IFERROR(VLOOKUP($L53,'Lists &amp; Rules'!$P$5:$Q$8,2,FALSE),0)+IFERROR(VLOOKUP($N53,'Lists &amp; Rules'!$S$5:$T$7,2,FALSE),0)+IFERROR(VLOOKUP($M53,'Lists &amp; Rules'!$L$5:$N$13,3,FALSE),0)+IF($R53="Overdue",-10,IF($R53="Today",5,0))+MIN(15,$Z53*3))))</x:f>
      </x:c>
      <x:c r="P53" s="71" t="str">
        <x:f>IF($A53="","",IF(COUNTIF('Activity Log'!$C$6:$C$1005,$A53)=0,"",MAXIFS('Activity Log'!$B$6:$B$1005,'Activity Log'!$C$6:$C$1005,$A53)))</x:f>
      </x:c>
      <x:c r="Q53" s="71" t="str">
        <x:f>IF($A53="","",IF(COUNTIFS('Activity Log'!$C$6:$C$1005,$A53,'Activity Log'!$J$6:$J$1005,"No",'Activity Log'!$I$6:$I$1005,"&gt;0")=0,"",MINIFS('Activity Log'!$I$6:$I$1005,'Activity Log'!$C$6:$C$1005,$A53,'Activity Log'!$J$6:$J$1005,"No",'Activity Log'!$I$6:$I$1005,"&gt;0")))</x:f>
      </x:c>
      <x:c r="R53" s="57" t="str">
        <x:f>IF($C53="","",IF(OR($K53="Won",$K53="Lost",$K53="Disqualified"),"Closed",IF($Q53="","No date",IF(INT($Q53)&lt;TODAY(),"Overdue",IF(INT($Q53)=TODAY(),"Today",IF(INT($Q53)&lt;=TODAY()+7,"Next 7 days","Later"))))))</x:f>
      </x:c>
      <x:c r="S53" s="57" t="str">
        <x:f>IF(OR($C53="",$P53=""),"",TODAY()-INT($P53))</x:f>
      </x:c>
      <x:c r="T53" s="54"/>
      <x:c r="U53" s="54"/>
      <x:c r="V53" s="63"/>
      <x:c r="W53" s="74"/>
      <x:c r="X53" s="77" t="str">
        <x:f>IF($C53="","",IFERROR(VLOOKUP($M53,'Lists &amp; Rules'!$L$5:$N$13,2,FALSE),0))</x:f>
      </x:c>
      <x:c r="Y53" s="80" t="str">
        <x:f>IF(OR($C53="",$W53=""),"",ROUND($W53*$X53,0))</x:f>
      </x:c>
      <x:c r="Z53" s="57" t="str">
        <x:f>IF($A53="","",COUNTIF('Activity Log'!$C$6:$C$1005,$A53))</x:f>
      </x:c>
      <x:c r="AA53" s="68"/>
      <x:c r="AB53" s="63"/>
    </x:row>
    <x:row r="54">
      <x:c r="A54" s="54"/>
      <x:c r="B54" s="68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  <x:c r="N54" s="54"/>
      <x:c r="O54" s="57" t="str">
        <x:f>IF($C54="","",MAX(0,MIN(100,IFERROR(VLOOKUP($L54,'Lists &amp; Rules'!$P$5:$Q$8,2,FALSE),0)+IFERROR(VLOOKUP($N54,'Lists &amp; Rules'!$S$5:$T$7,2,FALSE),0)+IFERROR(VLOOKUP($M54,'Lists &amp; Rules'!$L$5:$N$13,3,FALSE),0)+IF($R54="Overdue",-10,IF($R54="Today",5,0))+MIN(15,$Z54*3))))</x:f>
      </x:c>
      <x:c r="P54" s="71" t="str">
        <x:f>IF($A54="","",IF(COUNTIF('Activity Log'!$C$6:$C$1005,$A54)=0,"",MAXIFS('Activity Log'!$B$6:$B$1005,'Activity Log'!$C$6:$C$1005,$A54)))</x:f>
      </x:c>
      <x:c r="Q54" s="71" t="str">
        <x:f>IF($A54="","",IF(COUNTIFS('Activity Log'!$C$6:$C$1005,$A54,'Activity Log'!$J$6:$J$1005,"No",'Activity Log'!$I$6:$I$1005,"&gt;0")=0,"",MINIFS('Activity Log'!$I$6:$I$1005,'Activity Log'!$C$6:$C$1005,$A54,'Activity Log'!$J$6:$J$1005,"No",'Activity Log'!$I$6:$I$1005,"&gt;0")))</x:f>
      </x:c>
      <x:c r="R54" s="57" t="str">
        <x:f>IF($C54="","",IF(OR($K54="Won",$K54="Lost",$K54="Disqualified"),"Closed",IF($Q54="","No date",IF(INT($Q54)&lt;TODAY(),"Overdue",IF(INT($Q54)=TODAY(),"Today",IF(INT($Q54)&lt;=TODAY()+7,"Next 7 days","Later"))))))</x:f>
      </x:c>
      <x:c r="S54" s="57" t="str">
        <x:f>IF(OR($C54="",$P54=""),"",TODAY()-INT($P54))</x:f>
      </x:c>
      <x:c r="T54" s="54"/>
      <x:c r="U54" s="54"/>
      <x:c r="V54" s="63"/>
      <x:c r="W54" s="74"/>
      <x:c r="X54" s="77" t="str">
        <x:f>IF($C54="","",IFERROR(VLOOKUP($M54,'Lists &amp; Rules'!$L$5:$N$13,2,FALSE),0))</x:f>
      </x:c>
      <x:c r="Y54" s="80" t="str">
        <x:f>IF(OR($C54="",$W54=""),"",ROUND($W54*$X54,0))</x:f>
      </x:c>
      <x:c r="Z54" s="57" t="str">
        <x:f>IF($A54="","",COUNTIF('Activity Log'!$C$6:$C$1005,$A54))</x:f>
      </x:c>
      <x:c r="AA54" s="68"/>
      <x:c r="AB54" s="63"/>
    </x:row>
    <x:row r="55">
      <x:c r="A55" s="54"/>
      <x:c r="B55" s="68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  <x:c r="N55" s="54"/>
      <x:c r="O55" s="57" t="str">
        <x:f>IF($C55="","",MAX(0,MIN(100,IFERROR(VLOOKUP($L55,'Lists &amp; Rules'!$P$5:$Q$8,2,FALSE),0)+IFERROR(VLOOKUP($N55,'Lists &amp; Rules'!$S$5:$T$7,2,FALSE),0)+IFERROR(VLOOKUP($M55,'Lists &amp; Rules'!$L$5:$N$13,3,FALSE),0)+IF($R55="Overdue",-10,IF($R55="Today",5,0))+MIN(15,$Z55*3))))</x:f>
      </x:c>
      <x:c r="P55" s="71" t="str">
        <x:f>IF($A55="","",IF(COUNTIF('Activity Log'!$C$6:$C$1005,$A55)=0,"",MAXIFS('Activity Log'!$B$6:$B$1005,'Activity Log'!$C$6:$C$1005,$A55)))</x:f>
      </x:c>
      <x:c r="Q55" s="71" t="str">
        <x:f>IF($A55="","",IF(COUNTIFS('Activity Log'!$C$6:$C$1005,$A55,'Activity Log'!$J$6:$J$1005,"No",'Activity Log'!$I$6:$I$1005,"&gt;0")=0,"",MINIFS('Activity Log'!$I$6:$I$1005,'Activity Log'!$C$6:$C$1005,$A55,'Activity Log'!$J$6:$J$1005,"No",'Activity Log'!$I$6:$I$1005,"&gt;0")))</x:f>
      </x:c>
      <x:c r="R55" s="57" t="str">
        <x:f>IF($C55="","",IF(OR($K55="Won",$K55="Lost",$K55="Disqualified"),"Closed",IF($Q55="","No date",IF(INT($Q55)&lt;TODAY(),"Overdue",IF(INT($Q55)=TODAY(),"Today",IF(INT($Q55)&lt;=TODAY()+7,"Next 7 days","Later"))))))</x:f>
      </x:c>
      <x:c r="S55" s="57" t="str">
        <x:f>IF(OR($C55="",$P55=""),"",TODAY()-INT($P55))</x:f>
      </x:c>
      <x:c r="T55" s="54"/>
      <x:c r="U55" s="54"/>
      <x:c r="V55" s="63"/>
      <x:c r="W55" s="74"/>
      <x:c r="X55" s="77" t="str">
        <x:f>IF($C55="","",IFERROR(VLOOKUP($M55,'Lists &amp; Rules'!$L$5:$N$13,2,FALSE),0))</x:f>
      </x:c>
      <x:c r="Y55" s="80" t="str">
        <x:f>IF(OR($C55="",$W55=""),"",ROUND($W55*$X55,0))</x:f>
      </x:c>
      <x:c r="Z55" s="57" t="str">
        <x:f>IF($A55="","",COUNTIF('Activity Log'!$C$6:$C$1005,$A55))</x:f>
      </x:c>
      <x:c r="AA55" s="68"/>
      <x:c r="AB55" s="63"/>
    </x:row>
    <x:row r="56">
      <x:c r="A56" s="54"/>
      <x:c r="B56" s="68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7" t="str">
        <x:f>IF($C56="","",MAX(0,MIN(100,IFERROR(VLOOKUP($L56,'Lists &amp; Rules'!$P$5:$Q$8,2,FALSE),0)+IFERROR(VLOOKUP($N56,'Lists &amp; Rules'!$S$5:$T$7,2,FALSE),0)+IFERROR(VLOOKUP($M56,'Lists &amp; Rules'!$L$5:$N$13,3,FALSE),0)+IF($R56="Overdue",-10,IF($R56="Today",5,0))+MIN(15,$Z56*3))))</x:f>
      </x:c>
      <x:c r="P56" s="71" t="str">
        <x:f>IF($A56="","",IF(COUNTIF('Activity Log'!$C$6:$C$1005,$A56)=0,"",MAXIFS('Activity Log'!$B$6:$B$1005,'Activity Log'!$C$6:$C$1005,$A56)))</x:f>
      </x:c>
      <x:c r="Q56" s="71" t="str">
        <x:f>IF($A56="","",IF(COUNTIFS('Activity Log'!$C$6:$C$1005,$A56,'Activity Log'!$J$6:$J$1005,"No",'Activity Log'!$I$6:$I$1005,"&gt;0")=0,"",MINIFS('Activity Log'!$I$6:$I$1005,'Activity Log'!$C$6:$C$1005,$A56,'Activity Log'!$J$6:$J$1005,"No",'Activity Log'!$I$6:$I$1005,"&gt;0")))</x:f>
      </x:c>
      <x:c r="R56" s="57" t="str">
        <x:f>IF($C56="","",IF(OR($K56="Won",$K56="Lost",$K56="Disqualified"),"Closed",IF($Q56="","No date",IF(INT($Q56)&lt;TODAY(),"Overdue",IF(INT($Q56)=TODAY(),"Today",IF(INT($Q56)&lt;=TODAY()+7,"Next 7 days","Later"))))))</x:f>
      </x:c>
      <x:c r="S56" s="57" t="str">
        <x:f>IF(OR($C56="",$P56=""),"",TODAY()-INT($P56))</x:f>
      </x:c>
      <x:c r="T56" s="54"/>
      <x:c r="U56" s="54"/>
      <x:c r="V56" s="63"/>
      <x:c r="W56" s="74"/>
      <x:c r="X56" s="77" t="str">
        <x:f>IF($C56="","",IFERROR(VLOOKUP($M56,'Lists &amp; Rules'!$L$5:$N$13,2,FALSE),0))</x:f>
      </x:c>
      <x:c r="Y56" s="80" t="str">
        <x:f>IF(OR($C56="",$W56=""),"",ROUND($W56*$X56,0))</x:f>
      </x:c>
      <x:c r="Z56" s="57" t="str">
        <x:f>IF($A56="","",COUNTIF('Activity Log'!$C$6:$C$1005,$A56))</x:f>
      </x:c>
      <x:c r="AA56" s="68"/>
      <x:c r="AB56" s="63"/>
    </x:row>
    <x:row r="57">
      <x:c r="A57" s="54"/>
      <x:c r="B57" s="68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  <x:c r="N57" s="54"/>
      <x:c r="O57" s="57" t="str">
        <x:f>IF($C57="","",MAX(0,MIN(100,IFERROR(VLOOKUP($L57,'Lists &amp; Rules'!$P$5:$Q$8,2,FALSE),0)+IFERROR(VLOOKUP($N57,'Lists &amp; Rules'!$S$5:$T$7,2,FALSE),0)+IFERROR(VLOOKUP($M57,'Lists &amp; Rules'!$L$5:$N$13,3,FALSE),0)+IF($R57="Overdue",-10,IF($R57="Today",5,0))+MIN(15,$Z57*3))))</x:f>
      </x:c>
      <x:c r="P57" s="71" t="str">
        <x:f>IF($A57="","",IF(COUNTIF('Activity Log'!$C$6:$C$1005,$A57)=0,"",MAXIFS('Activity Log'!$B$6:$B$1005,'Activity Log'!$C$6:$C$1005,$A57)))</x:f>
      </x:c>
      <x:c r="Q57" s="71" t="str">
        <x:f>IF($A57="","",IF(COUNTIFS('Activity Log'!$C$6:$C$1005,$A57,'Activity Log'!$J$6:$J$1005,"No",'Activity Log'!$I$6:$I$1005,"&gt;0")=0,"",MINIFS('Activity Log'!$I$6:$I$1005,'Activity Log'!$C$6:$C$1005,$A57,'Activity Log'!$J$6:$J$1005,"No",'Activity Log'!$I$6:$I$1005,"&gt;0")))</x:f>
      </x:c>
      <x:c r="R57" s="57" t="str">
        <x:f>IF($C57="","",IF(OR($K57="Won",$K57="Lost",$K57="Disqualified"),"Closed",IF($Q57="","No date",IF(INT($Q57)&lt;TODAY(),"Overdue",IF(INT($Q57)=TODAY(),"Today",IF(INT($Q57)&lt;=TODAY()+7,"Next 7 days","Later"))))))</x:f>
      </x:c>
      <x:c r="S57" s="57" t="str">
        <x:f>IF(OR($C57="",$P57=""),"",TODAY()-INT($P57))</x:f>
      </x:c>
      <x:c r="T57" s="54"/>
      <x:c r="U57" s="54"/>
      <x:c r="V57" s="63"/>
      <x:c r="W57" s="74"/>
      <x:c r="X57" s="77" t="str">
        <x:f>IF($C57="","",IFERROR(VLOOKUP($M57,'Lists &amp; Rules'!$L$5:$N$13,2,FALSE),0))</x:f>
      </x:c>
      <x:c r="Y57" s="80" t="str">
        <x:f>IF(OR($C57="",$W57=""),"",ROUND($W57*$X57,0))</x:f>
      </x:c>
      <x:c r="Z57" s="57" t="str">
        <x:f>IF($A57="","",COUNTIF('Activity Log'!$C$6:$C$1005,$A57))</x:f>
      </x:c>
      <x:c r="AA57" s="68"/>
      <x:c r="AB57" s="63"/>
    </x:row>
    <x:row r="58">
      <x:c r="A58" s="54"/>
      <x:c r="B58" s="68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  <x:c r="N58" s="54"/>
      <x:c r="O58" s="57" t="str">
        <x:f>IF($C58="","",MAX(0,MIN(100,IFERROR(VLOOKUP($L58,'Lists &amp; Rules'!$P$5:$Q$8,2,FALSE),0)+IFERROR(VLOOKUP($N58,'Lists &amp; Rules'!$S$5:$T$7,2,FALSE),0)+IFERROR(VLOOKUP($M58,'Lists &amp; Rules'!$L$5:$N$13,3,FALSE),0)+IF($R58="Overdue",-10,IF($R58="Today",5,0))+MIN(15,$Z58*3))))</x:f>
      </x:c>
      <x:c r="P58" s="71" t="str">
        <x:f>IF($A58="","",IF(COUNTIF('Activity Log'!$C$6:$C$1005,$A58)=0,"",MAXIFS('Activity Log'!$B$6:$B$1005,'Activity Log'!$C$6:$C$1005,$A58)))</x:f>
      </x:c>
      <x:c r="Q58" s="71" t="str">
        <x:f>IF($A58="","",IF(COUNTIFS('Activity Log'!$C$6:$C$1005,$A58,'Activity Log'!$J$6:$J$1005,"No",'Activity Log'!$I$6:$I$1005,"&gt;0")=0,"",MINIFS('Activity Log'!$I$6:$I$1005,'Activity Log'!$C$6:$C$1005,$A58,'Activity Log'!$J$6:$J$1005,"No",'Activity Log'!$I$6:$I$1005,"&gt;0")))</x:f>
      </x:c>
      <x:c r="R58" s="57" t="str">
        <x:f>IF($C58="","",IF(OR($K58="Won",$K58="Lost",$K58="Disqualified"),"Closed",IF($Q58="","No date",IF(INT($Q58)&lt;TODAY(),"Overdue",IF(INT($Q58)=TODAY(),"Today",IF(INT($Q58)&lt;=TODAY()+7,"Next 7 days","Later"))))))</x:f>
      </x:c>
      <x:c r="S58" s="57" t="str">
        <x:f>IF(OR($C58="",$P58=""),"",TODAY()-INT($P58))</x:f>
      </x:c>
      <x:c r="T58" s="54"/>
      <x:c r="U58" s="54"/>
      <x:c r="V58" s="63"/>
      <x:c r="W58" s="74"/>
      <x:c r="X58" s="77" t="str">
        <x:f>IF($C58="","",IFERROR(VLOOKUP($M58,'Lists &amp; Rules'!$L$5:$N$13,2,FALSE),0))</x:f>
      </x:c>
      <x:c r="Y58" s="80" t="str">
        <x:f>IF(OR($C58="",$W58=""),"",ROUND($W58*$X58,0))</x:f>
      </x:c>
      <x:c r="Z58" s="57" t="str">
        <x:f>IF($A58="","",COUNTIF('Activity Log'!$C$6:$C$1005,$A58))</x:f>
      </x:c>
      <x:c r="AA58" s="68"/>
      <x:c r="AB58" s="63"/>
    </x:row>
    <x:row r="59">
      <x:c r="A59" s="54"/>
      <x:c r="B59" s="68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  <x:c r="N59" s="54"/>
      <x:c r="O59" s="57" t="str">
        <x:f>IF($C59="","",MAX(0,MIN(100,IFERROR(VLOOKUP($L59,'Lists &amp; Rules'!$P$5:$Q$8,2,FALSE),0)+IFERROR(VLOOKUP($N59,'Lists &amp; Rules'!$S$5:$T$7,2,FALSE),0)+IFERROR(VLOOKUP($M59,'Lists &amp; Rules'!$L$5:$N$13,3,FALSE),0)+IF($R59="Overdue",-10,IF($R59="Today",5,0))+MIN(15,$Z59*3))))</x:f>
      </x:c>
      <x:c r="P59" s="71" t="str">
        <x:f>IF($A59="","",IF(COUNTIF('Activity Log'!$C$6:$C$1005,$A59)=0,"",MAXIFS('Activity Log'!$B$6:$B$1005,'Activity Log'!$C$6:$C$1005,$A59)))</x:f>
      </x:c>
      <x:c r="Q59" s="71" t="str">
        <x:f>IF($A59="","",IF(COUNTIFS('Activity Log'!$C$6:$C$1005,$A59,'Activity Log'!$J$6:$J$1005,"No",'Activity Log'!$I$6:$I$1005,"&gt;0")=0,"",MINIFS('Activity Log'!$I$6:$I$1005,'Activity Log'!$C$6:$C$1005,$A59,'Activity Log'!$J$6:$J$1005,"No",'Activity Log'!$I$6:$I$1005,"&gt;0")))</x:f>
      </x:c>
      <x:c r="R59" s="57" t="str">
        <x:f>IF($C59="","",IF(OR($K59="Won",$K59="Lost",$K59="Disqualified"),"Closed",IF($Q59="","No date",IF(INT($Q59)&lt;TODAY(),"Overdue",IF(INT($Q59)=TODAY(),"Today",IF(INT($Q59)&lt;=TODAY()+7,"Next 7 days","Later"))))))</x:f>
      </x:c>
      <x:c r="S59" s="57" t="str">
        <x:f>IF(OR($C59="",$P59=""),"",TODAY()-INT($P59))</x:f>
      </x:c>
      <x:c r="T59" s="54"/>
      <x:c r="U59" s="54"/>
      <x:c r="V59" s="63"/>
      <x:c r="W59" s="74"/>
      <x:c r="X59" s="77" t="str">
        <x:f>IF($C59="","",IFERROR(VLOOKUP($M59,'Lists &amp; Rules'!$L$5:$N$13,2,FALSE),0))</x:f>
      </x:c>
      <x:c r="Y59" s="80" t="str">
        <x:f>IF(OR($C59="",$W59=""),"",ROUND($W59*$X59,0))</x:f>
      </x:c>
      <x:c r="Z59" s="57" t="str">
        <x:f>IF($A59="","",COUNTIF('Activity Log'!$C$6:$C$1005,$A59))</x:f>
      </x:c>
      <x:c r="AA59" s="68"/>
      <x:c r="AB59" s="63"/>
    </x:row>
    <x:row r="60">
      <x:c r="A60" s="54"/>
      <x:c r="B60" s="68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  <x:c r="N60" s="54"/>
      <x:c r="O60" s="57" t="str">
        <x:f>IF($C60="","",MAX(0,MIN(100,IFERROR(VLOOKUP($L60,'Lists &amp; Rules'!$P$5:$Q$8,2,FALSE),0)+IFERROR(VLOOKUP($N60,'Lists &amp; Rules'!$S$5:$T$7,2,FALSE),0)+IFERROR(VLOOKUP($M60,'Lists &amp; Rules'!$L$5:$N$13,3,FALSE),0)+IF($R60="Overdue",-10,IF($R60="Today",5,0))+MIN(15,$Z60*3))))</x:f>
      </x:c>
      <x:c r="P60" s="71" t="str">
        <x:f>IF($A60="","",IF(COUNTIF('Activity Log'!$C$6:$C$1005,$A60)=0,"",MAXIFS('Activity Log'!$B$6:$B$1005,'Activity Log'!$C$6:$C$1005,$A60)))</x:f>
      </x:c>
      <x:c r="Q60" s="71" t="str">
        <x:f>IF($A60="","",IF(COUNTIFS('Activity Log'!$C$6:$C$1005,$A60,'Activity Log'!$J$6:$J$1005,"No",'Activity Log'!$I$6:$I$1005,"&gt;0")=0,"",MINIFS('Activity Log'!$I$6:$I$1005,'Activity Log'!$C$6:$C$1005,$A60,'Activity Log'!$J$6:$J$1005,"No",'Activity Log'!$I$6:$I$1005,"&gt;0")))</x:f>
      </x:c>
      <x:c r="R60" s="57" t="str">
        <x:f>IF($C60="","",IF(OR($K60="Won",$K60="Lost",$K60="Disqualified"),"Closed",IF($Q60="","No date",IF(INT($Q60)&lt;TODAY(),"Overdue",IF(INT($Q60)=TODAY(),"Today",IF(INT($Q60)&lt;=TODAY()+7,"Next 7 days","Later"))))))</x:f>
      </x:c>
      <x:c r="S60" s="57" t="str">
        <x:f>IF(OR($C60="",$P60=""),"",TODAY()-INT($P60))</x:f>
      </x:c>
      <x:c r="T60" s="54"/>
      <x:c r="U60" s="54"/>
      <x:c r="V60" s="63"/>
      <x:c r="W60" s="74"/>
      <x:c r="X60" s="77" t="str">
        <x:f>IF($C60="","",IFERROR(VLOOKUP($M60,'Lists &amp; Rules'!$L$5:$N$13,2,FALSE),0))</x:f>
      </x:c>
      <x:c r="Y60" s="80" t="str">
        <x:f>IF(OR($C60="",$W60=""),"",ROUND($W60*$X60,0))</x:f>
      </x:c>
      <x:c r="Z60" s="57" t="str">
        <x:f>IF($A60="","",COUNTIF('Activity Log'!$C$6:$C$1005,$A60))</x:f>
      </x:c>
      <x:c r="AA60" s="68"/>
      <x:c r="AB60" s="63"/>
    </x:row>
    <x:row r="61">
      <x:c r="A61" s="54"/>
      <x:c r="B61" s="68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  <x:c r="N61" s="54"/>
      <x:c r="O61" s="57" t="str">
        <x:f>IF($C61="","",MAX(0,MIN(100,IFERROR(VLOOKUP($L61,'Lists &amp; Rules'!$P$5:$Q$8,2,FALSE),0)+IFERROR(VLOOKUP($N61,'Lists &amp; Rules'!$S$5:$T$7,2,FALSE),0)+IFERROR(VLOOKUP($M61,'Lists &amp; Rules'!$L$5:$N$13,3,FALSE),0)+IF($R61="Overdue",-10,IF($R61="Today",5,0))+MIN(15,$Z61*3))))</x:f>
      </x:c>
      <x:c r="P61" s="71" t="str">
        <x:f>IF($A61="","",IF(COUNTIF('Activity Log'!$C$6:$C$1005,$A61)=0,"",MAXIFS('Activity Log'!$B$6:$B$1005,'Activity Log'!$C$6:$C$1005,$A61)))</x:f>
      </x:c>
      <x:c r="Q61" s="71" t="str">
        <x:f>IF($A61="","",IF(COUNTIFS('Activity Log'!$C$6:$C$1005,$A61,'Activity Log'!$J$6:$J$1005,"No",'Activity Log'!$I$6:$I$1005,"&gt;0")=0,"",MINIFS('Activity Log'!$I$6:$I$1005,'Activity Log'!$C$6:$C$1005,$A61,'Activity Log'!$J$6:$J$1005,"No",'Activity Log'!$I$6:$I$1005,"&gt;0")))</x:f>
      </x:c>
      <x:c r="R61" s="57" t="str">
        <x:f>IF($C61="","",IF(OR($K61="Won",$K61="Lost",$K61="Disqualified"),"Closed",IF($Q61="","No date",IF(INT($Q61)&lt;TODAY(),"Overdue",IF(INT($Q61)=TODAY(),"Today",IF(INT($Q61)&lt;=TODAY()+7,"Next 7 days","Later"))))))</x:f>
      </x:c>
      <x:c r="S61" s="57" t="str">
        <x:f>IF(OR($C61="",$P61=""),"",TODAY()-INT($P61))</x:f>
      </x:c>
      <x:c r="T61" s="54"/>
      <x:c r="U61" s="54"/>
      <x:c r="V61" s="63"/>
      <x:c r="W61" s="74"/>
      <x:c r="X61" s="77" t="str">
        <x:f>IF($C61="","",IFERROR(VLOOKUP($M61,'Lists &amp; Rules'!$L$5:$N$13,2,FALSE),0))</x:f>
      </x:c>
      <x:c r="Y61" s="80" t="str">
        <x:f>IF(OR($C61="",$W61=""),"",ROUND($W61*$X61,0))</x:f>
      </x:c>
      <x:c r="Z61" s="57" t="str">
        <x:f>IF($A61="","",COUNTIF('Activity Log'!$C$6:$C$1005,$A61))</x:f>
      </x:c>
      <x:c r="AA61" s="68"/>
      <x:c r="AB61" s="63"/>
    </x:row>
    <x:row r="62">
      <x:c r="A62" s="54"/>
      <x:c r="B62" s="68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  <x:c r="N62" s="54"/>
      <x:c r="O62" s="57" t="str">
        <x:f>IF($C62="","",MAX(0,MIN(100,IFERROR(VLOOKUP($L62,'Lists &amp; Rules'!$P$5:$Q$8,2,FALSE),0)+IFERROR(VLOOKUP($N62,'Lists &amp; Rules'!$S$5:$T$7,2,FALSE),0)+IFERROR(VLOOKUP($M62,'Lists &amp; Rules'!$L$5:$N$13,3,FALSE),0)+IF($R62="Overdue",-10,IF($R62="Today",5,0))+MIN(15,$Z62*3))))</x:f>
      </x:c>
      <x:c r="P62" s="71" t="str">
        <x:f>IF($A62="","",IF(COUNTIF('Activity Log'!$C$6:$C$1005,$A62)=0,"",MAXIFS('Activity Log'!$B$6:$B$1005,'Activity Log'!$C$6:$C$1005,$A62)))</x:f>
      </x:c>
      <x:c r="Q62" s="71" t="str">
        <x:f>IF($A62="","",IF(COUNTIFS('Activity Log'!$C$6:$C$1005,$A62,'Activity Log'!$J$6:$J$1005,"No",'Activity Log'!$I$6:$I$1005,"&gt;0")=0,"",MINIFS('Activity Log'!$I$6:$I$1005,'Activity Log'!$C$6:$C$1005,$A62,'Activity Log'!$J$6:$J$1005,"No",'Activity Log'!$I$6:$I$1005,"&gt;0")))</x:f>
      </x:c>
      <x:c r="R62" s="57" t="str">
        <x:f>IF($C62="","",IF(OR($K62="Won",$K62="Lost",$K62="Disqualified"),"Closed",IF($Q62="","No date",IF(INT($Q62)&lt;TODAY(),"Overdue",IF(INT($Q62)=TODAY(),"Today",IF(INT($Q62)&lt;=TODAY()+7,"Next 7 days","Later"))))))</x:f>
      </x:c>
      <x:c r="S62" s="57" t="str">
        <x:f>IF(OR($C62="",$P62=""),"",TODAY()-INT($P62))</x:f>
      </x:c>
      <x:c r="T62" s="54"/>
      <x:c r="U62" s="54"/>
      <x:c r="V62" s="63"/>
      <x:c r="W62" s="74"/>
      <x:c r="X62" s="77" t="str">
        <x:f>IF($C62="","",IFERROR(VLOOKUP($M62,'Lists &amp; Rules'!$L$5:$N$13,2,FALSE),0))</x:f>
      </x:c>
      <x:c r="Y62" s="80" t="str">
        <x:f>IF(OR($C62="",$W62=""),"",ROUND($W62*$X62,0))</x:f>
      </x:c>
      <x:c r="Z62" s="57" t="str">
        <x:f>IF($A62="","",COUNTIF('Activity Log'!$C$6:$C$1005,$A62))</x:f>
      </x:c>
      <x:c r="AA62" s="68"/>
      <x:c r="AB62" s="63"/>
    </x:row>
    <x:row r="63">
      <x:c r="A63" s="54"/>
      <x:c r="B63" s="68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  <x:c r="N63" s="54"/>
      <x:c r="O63" s="57" t="str">
        <x:f>IF($C63="","",MAX(0,MIN(100,IFERROR(VLOOKUP($L63,'Lists &amp; Rules'!$P$5:$Q$8,2,FALSE),0)+IFERROR(VLOOKUP($N63,'Lists &amp; Rules'!$S$5:$T$7,2,FALSE),0)+IFERROR(VLOOKUP($M63,'Lists &amp; Rules'!$L$5:$N$13,3,FALSE),0)+IF($R63="Overdue",-10,IF($R63="Today",5,0))+MIN(15,$Z63*3))))</x:f>
      </x:c>
      <x:c r="P63" s="71" t="str">
        <x:f>IF($A63="","",IF(COUNTIF('Activity Log'!$C$6:$C$1005,$A63)=0,"",MAXIFS('Activity Log'!$B$6:$B$1005,'Activity Log'!$C$6:$C$1005,$A63)))</x:f>
      </x:c>
      <x:c r="Q63" s="71" t="str">
        <x:f>IF($A63="","",IF(COUNTIFS('Activity Log'!$C$6:$C$1005,$A63,'Activity Log'!$J$6:$J$1005,"No",'Activity Log'!$I$6:$I$1005,"&gt;0")=0,"",MINIFS('Activity Log'!$I$6:$I$1005,'Activity Log'!$C$6:$C$1005,$A63,'Activity Log'!$J$6:$J$1005,"No",'Activity Log'!$I$6:$I$1005,"&gt;0")))</x:f>
      </x:c>
      <x:c r="R63" s="57" t="str">
        <x:f>IF($C63="","",IF(OR($K63="Won",$K63="Lost",$K63="Disqualified"),"Closed",IF($Q63="","No date",IF(INT($Q63)&lt;TODAY(),"Overdue",IF(INT($Q63)=TODAY(),"Today",IF(INT($Q63)&lt;=TODAY()+7,"Next 7 days","Later"))))))</x:f>
      </x:c>
      <x:c r="S63" s="57" t="str">
        <x:f>IF(OR($C63="",$P63=""),"",TODAY()-INT($P63))</x:f>
      </x:c>
      <x:c r="T63" s="54"/>
      <x:c r="U63" s="54"/>
      <x:c r="V63" s="63"/>
      <x:c r="W63" s="74"/>
      <x:c r="X63" s="77" t="str">
        <x:f>IF($C63="","",IFERROR(VLOOKUP($M63,'Lists &amp; Rules'!$L$5:$N$13,2,FALSE),0))</x:f>
      </x:c>
      <x:c r="Y63" s="80" t="str">
        <x:f>IF(OR($C63="",$W63=""),"",ROUND($W63*$X63,0))</x:f>
      </x:c>
      <x:c r="Z63" s="57" t="str">
        <x:f>IF($A63="","",COUNTIF('Activity Log'!$C$6:$C$1005,$A63))</x:f>
      </x:c>
      <x:c r="AA63" s="68"/>
      <x:c r="AB63" s="63"/>
    </x:row>
    <x:row r="64">
      <x:c r="A64" s="54"/>
      <x:c r="B64" s="68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  <x:c r="N64" s="54"/>
      <x:c r="O64" s="57" t="str">
        <x:f>IF($C64="","",MAX(0,MIN(100,IFERROR(VLOOKUP($L64,'Lists &amp; Rules'!$P$5:$Q$8,2,FALSE),0)+IFERROR(VLOOKUP($N64,'Lists &amp; Rules'!$S$5:$T$7,2,FALSE),0)+IFERROR(VLOOKUP($M64,'Lists &amp; Rules'!$L$5:$N$13,3,FALSE),0)+IF($R64="Overdue",-10,IF($R64="Today",5,0))+MIN(15,$Z64*3))))</x:f>
      </x:c>
      <x:c r="P64" s="71" t="str">
        <x:f>IF($A64="","",IF(COUNTIF('Activity Log'!$C$6:$C$1005,$A64)=0,"",MAXIFS('Activity Log'!$B$6:$B$1005,'Activity Log'!$C$6:$C$1005,$A64)))</x:f>
      </x:c>
      <x:c r="Q64" s="71" t="str">
        <x:f>IF($A64="","",IF(COUNTIFS('Activity Log'!$C$6:$C$1005,$A64,'Activity Log'!$J$6:$J$1005,"No",'Activity Log'!$I$6:$I$1005,"&gt;0")=0,"",MINIFS('Activity Log'!$I$6:$I$1005,'Activity Log'!$C$6:$C$1005,$A64,'Activity Log'!$J$6:$J$1005,"No",'Activity Log'!$I$6:$I$1005,"&gt;0")))</x:f>
      </x:c>
      <x:c r="R64" s="57" t="str">
        <x:f>IF($C64="","",IF(OR($K64="Won",$K64="Lost",$K64="Disqualified"),"Closed",IF($Q64="","No date",IF(INT($Q64)&lt;TODAY(),"Overdue",IF(INT($Q64)=TODAY(),"Today",IF(INT($Q64)&lt;=TODAY()+7,"Next 7 days","Later"))))))</x:f>
      </x:c>
      <x:c r="S64" s="57" t="str">
        <x:f>IF(OR($C64="",$P64=""),"",TODAY()-INT($P64))</x:f>
      </x:c>
      <x:c r="T64" s="54"/>
      <x:c r="U64" s="54"/>
      <x:c r="V64" s="63"/>
      <x:c r="W64" s="74"/>
      <x:c r="X64" s="77" t="str">
        <x:f>IF($C64="","",IFERROR(VLOOKUP($M64,'Lists &amp; Rules'!$L$5:$N$13,2,FALSE),0))</x:f>
      </x:c>
      <x:c r="Y64" s="80" t="str">
        <x:f>IF(OR($C64="",$W64=""),"",ROUND($W64*$X64,0))</x:f>
      </x:c>
      <x:c r="Z64" s="57" t="str">
        <x:f>IF($A64="","",COUNTIF('Activity Log'!$C$6:$C$1005,$A64))</x:f>
      </x:c>
      <x:c r="AA64" s="68"/>
      <x:c r="AB64" s="63"/>
    </x:row>
    <x:row r="65">
      <x:c r="A65" s="54"/>
      <x:c r="B65" s="68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  <x:c r="N65" s="54"/>
      <x:c r="O65" s="57" t="str">
        <x:f>IF($C65="","",MAX(0,MIN(100,IFERROR(VLOOKUP($L65,'Lists &amp; Rules'!$P$5:$Q$8,2,FALSE),0)+IFERROR(VLOOKUP($N65,'Lists &amp; Rules'!$S$5:$T$7,2,FALSE),0)+IFERROR(VLOOKUP($M65,'Lists &amp; Rules'!$L$5:$N$13,3,FALSE),0)+IF($R65="Overdue",-10,IF($R65="Today",5,0))+MIN(15,$Z65*3))))</x:f>
      </x:c>
      <x:c r="P65" s="71" t="str">
        <x:f>IF($A65="","",IF(COUNTIF('Activity Log'!$C$6:$C$1005,$A65)=0,"",MAXIFS('Activity Log'!$B$6:$B$1005,'Activity Log'!$C$6:$C$1005,$A65)))</x:f>
      </x:c>
      <x:c r="Q65" s="71" t="str">
        <x:f>IF($A65="","",IF(COUNTIFS('Activity Log'!$C$6:$C$1005,$A65,'Activity Log'!$J$6:$J$1005,"No",'Activity Log'!$I$6:$I$1005,"&gt;0")=0,"",MINIFS('Activity Log'!$I$6:$I$1005,'Activity Log'!$C$6:$C$1005,$A65,'Activity Log'!$J$6:$J$1005,"No",'Activity Log'!$I$6:$I$1005,"&gt;0")))</x:f>
      </x:c>
      <x:c r="R65" s="57" t="str">
        <x:f>IF($C65="","",IF(OR($K65="Won",$K65="Lost",$K65="Disqualified"),"Closed",IF($Q65="","No date",IF(INT($Q65)&lt;TODAY(),"Overdue",IF(INT($Q65)=TODAY(),"Today",IF(INT($Q65)&lt;=TODAY()+7,"Next 7 days","Later"))))))</x:f>
      </x:c>
      <x:c r="S65" s="57" t="str">
        <x:f>IF(OR($C65="",$P65=""),"",TODAY()-INT($P65))</x:f>
      </x:c>
      <x:c r="T65" s="54"/>
      <x:c r="U65" s="54"/>
      <x:c r="V65" s="63"/>
      <x:c r="W65" s="74"/>
      <x:c r="X65" s="77" t="str">
        <x:f>IF($C65="","",IFERROR(VLOOKUP($M65,'Lists &amp; Rules'!$L$5:$N$13,2,FALSE),0))</x:f>
      </x:c>
      <x:c r="Y65" s="80" t="str">
        <x:f>IF(OR($C65="",$W65=""),"",ROUND($W65*$X65,0))</x:f>
      </x:c>
      <x:c r="Z65" s="57" t="str">
        <x:f>IF($A65="","",COUNTIF('Activity Log'!$C$6:$C$1005,$A65))</x:f>
      </x:c>
      <x:c r="AA65" s="68"/>
      <x:c r="AB65" s="63"/>
    </x:row>
    <x:row r="66">
      <x:c r="A66" s="54"/>
      <x:c r="B66" s="68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  <x:c r="N66" s="54"/>
      <x:c r="O66" s="57" t="str">
        <x:f>IF($C66="","",MAX(0,MIN(100,IFERROR(VLOOKUP($L66,'Lists &amp; Rules'!$P$5:$Q$8,2,FALSE),0)+IFERROR(VLOOKUP($N66,'Lists &amp; Rules'!$S$5:$T$7,2,FALSE),0)+IFERROR(VLOOKUP($M66,'Lists &amp; Rules'!$L$5:$N$13,3,FALSE),0)+IF($R66="Overdue",-10,IF($R66="Today",5,0))+MIN(15,$Z66*3))))</x:f>
      </x:c>
      <x:c r="P66" s="71" t="str">
        <x:f>IF($A66="","",IF(COUNTIF('Activity Log'!$C$6:$C$1005,$A66)=0,"",MAXIFS('Activity Log'!$B$6:$B$1005,'Activity Log'!$C$6:$C$1005,$A66)))</x:f>
      </x:c>
      <x:c r="Q66" s="71" t="str">
        <x:f>IF($A66="","",IF(COUNTIFS('Activity Log'!$C$6:$C$1005,$A66,'Activity Log'!$J$6:$J$1005,"No",'Activity Log'!$I$6:$I$1005,"&gt;0")=0,"",MINIFS('Activity Log'!$I$6:$I$1005,'Activity Log'!$C$6:$C$1005,$A66,'Activity Log'!$J$6:$J$1005,"No",'Activity Log'!$I$6:$I$1005,"&gt;0")))</x:f>
      </x:c>
      <x:c r="R66" s="57" t="str">
        <x:f>IF($C66="","",IF(OR($K66="Won",$K66="Lost",$K66="Disqualified"),"Closed",IF($Q66="","No date",IF(INT($Q66)&lt;TODAY(),"Overdue",IF(INT($Q66)=TODAY(),"Today",IF(INT($Q66)&lt;=TODAY()+7,"Next 7 days","Later"))))))</x:f>
      </x:c>
      <x:c r="S66" s="57" t="str">
        <x:f>IF(OR($C66="",$P66=""),"",TODAY()-INT($P66))</x:f>
      </x:c>
      <x:c r="T66" s="54"/>
      <x:c r="U66" s="54"/>
      <x:c r="V66" s="63"/>
      <x:c r="W66" s="74"/>
      <x:c r="X66" s="77" t="str">
        <x:f>IF($C66="","",IFERROR(VLOOKUP($M66,'Lists &amp; Rules'!$L$5:$N$13,2,FALSE),0))</x:f>
      </x:c>
      <x:c r="Y66" s="80" t="str">
        <x:f>IF(OR($C66="",$W66=""),"",ROUND($W66*$X66,0))</x:f>
      </x:c>
      <x:c r="Z66" s="57" t="str">
        <x:f>IF($A66="","",COUNTIF('Activity Log'!$C$6:$C$1005,$A66))</x:f>
      </x:c>
      <x:c r="AA66" s="68"/>
      <x:c r="AB66" s="63"/>
    </x:row>
    <x:row r="67">
      <x:c r="A67" s="54"/>
      <x:c r="B67" s="68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  <x:c r="N67" s="54"/>
      <x:c r="O67" s="57" t="str">
        <x:f>IF($C67="","",MAX(0,MIN(100,IFERROR(VLOOKUP($L67,'Lists &amp; Rules'!$P$5:$Q$8,2,FALSE),0)+IFERROR(VLOOKUP($N67,'Lists &amp; Rules'!$S$5:$T$7,2,FALSE),0)+IFERROR(VLOOKUP($M67,'Lists &amp; Rules'!$L$5:$N$13,3,FALSE),0)+IF($R67="Overdue",-10,IF($R67="Today",5,0))+MIN(15,$Z67*3))))</x:f>
      </x:c>
      <x:c r="P67" s="71" t="str">
        <x:f>IF($A67="","",IF(COUNTIF('Activity Log'!$C$6:$C$1005,$A67)=0,"",MAXIFS('Activity Log'!$B$6:$B$1005,'Activity Log'!$C$6:$C$1005,$A67)))</x:f>
      </x:c>
      <x:c r="Q67" s="71" t="str">
        <x:f>IF($A67="","",IF(COUNTIFS('Activity Log'!$C$6:$C$1005,$A67,'Activity Log'!$J$6:$J$1005,"No",'Activity Log'!$I$6:$I$1005,"&gt;0")=0,"",MINIFS('Activity Log'!$I$6:$I$1005,'Activity Log'!$C$6:$C$1005,$A67,'Activity Log'!$J$6:$J$1005,"No",'Activity Log'!$I$6:$I$1005,"&gt;0")))</x:f>
      </x:c>
      <x:c r="R67" s="57" t="str">
        <x:f>IF($C67="","",IF(OR($K67="Won",$K67="Lost",$K67="Disqualified"),"Closed",IF($Q67="","No date",IF(INT($Q67)&lt;TODAY(),"Overdue",IF(INT($Q67)=TODAY(),"Today",IF(INT($Q67)&lt;=TODAY()+7,"Next 7 days","Later"))))))</x:f>
      </x:c>
      <x:c r="S67" s="57" t="str">
        <x:f>IF(OR($C67="",$P67=""),"",TODAY()-INT($P67))</x:f>
      </x:c>
      <x:c r="T67" s="54"/>
      <x:c r="U67" s="54"/>
      <x:c r="V67" s="63"/>
      <x:c r="W67" s="74"/>
      <x:c r="X67" s="77" t="str">
        <x:f>IF($C67="","",IFERROR(VLOOKUP($M67,'Lists &amp; Rules'!$L$5:$N$13,2,FALSE),0))</x:f>
      </x:c>
      <x:c r="Y67" s="80" t="str">
        <x:f>IF(OR($C67="",$W67=""),"",ROUND($W67*$X67,0))</x:f>
      </x:c>
      <x:c r="Z67" s="57" t="str">
        <x:f>IF($A67="","",COUNTIF('Activity Log'!$C$6:$C$1005,$A67))</x:f>
      </x:c>
      <x:c r="AA67" s="68"/>
      <x:c r="AB67" s="63"/>
    </x:row>
    <x:row r="68">
      <x:c r="A68" s="54"/>
      <x:c r="B68" s="68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  <x:c r="N68" s="54"/>
      <x:c r="O68" s="57" t="str">
        <x:f>IF($C68="","",MAX(0,MIN(100,IFERROR(VLOOKUP($L68,'Lists &amp; Rules'!$P$5:$Q$8,2,FALSE),0)+IFERROR(VLOOKUP($N68,'Lists &amp; Rules'!$S$5:$T$7,2,FALSE),0)+IFERROR(VLOOKUP($M68,'Lists &amp; Rules'!$L$5:$N$13,3,FALSE),0)+IF($R68="Overdue",-10,IF($R68="Today",5,0))+MIN(15,$Z68*3))))</x:f>
      </x:c>
      <x:c r="P68" s="71" t="str">
        <x:f>IF($A68="","",IF(COUNTIF('Activity Log'!$C$6:$C$1005,$A68)=0,"",MAXIFS('Activity Log'!$B$6:$B$1005,'Activity Log'!$C$6:$C$1005,$A68)))</x:f>
      </x:c>
      <x:c r="Q68" s="71" t="str">
        <x:f>IF($A68="","",IF(COUNTIFS('Activity Log'!$C$6:$C$1005,$A68,'Activity Log'!$J$6:$J$1005,"No",'Activity Log'!$I$6:$I$1005,"&gt;0")=0,"",MINIFS('Activity Log'!$I$6:$I$1005,'Activity Log'!$C$6:$C$1005,$A68,'Activity Log'!$J$6:$J$1005,"No",'Activity Log'!$I$6:$I$1005,"&gt;0")))</x:f>
      </x:c>
      <x:c r="R68" s="57" t="str">
        <x:f>IF($C68="","",IF(OR($K68="Won",$K68="Lost",$K68="Disqualified"),"Closed",IF($Q68="","No date",IF(INT($Q68)&lt;TODAY(),"Overdue",IF(INT($Q68)=TODAY(),"Today",IF(INT($Q68)&lt;=TODAY()+7,"Next 7 days","Later"))))))</x:f>
      </x:c>
      <x:c r="S68" s="57" t="str">
        <x:f>IF(OR($C68="",$P68=""),"",TODAY()-INT($P68))</x:f>
      </x:c>
      <x:c r="T68" s="54"/>
      <x:c r="U68" s="54"/>
      <x:c r="V68" s="63"/>
      <x:c r="W68" s="74"/>
      <x:c r="X68" s="77" t="str">
        <x:f>IF($C68="","",IFERROR(VLOOKUP($M68,'Lists &amp; Rules'!$L$5:$N$13,2,FALSE),0))</x:f>
      </x:c>
      <x:c r="Y68" s="80" t="str">
        <x:f>IF(OR($C68="",$W68=""),"",ROUND($W68*$X68,0))</x:f>
      </x:c>
      <x:c r="Z68" s="57" t="str">
        <x:f>IF($A68="","",COUNTIF('Activity Log'!$C$6:$C$1005,$A68))</x:f>
      </x:c>
      <x:c r="AA68" s="68"/>
      <x:c r="AB68" s="63"/>
    </x:row>
    <x:row r="69">
      <x:c r="A69" s="54"/>
      <x:c r="B69" s="68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7" t="str">
        <x:f>IF($C69="","",MAX(0,MIN(100,IFERROR(VLOOKUP($L69,'Lists &amp; Rules'!$P$5:$Q$8,2,FALSE),0)+IFERROR(VLOOKUP($N69,'Lists &amp; Rules'!$S$5:$T$7,2,FALSE),0)+IFERROR(VLOOKUP($M69,'Lists &amp; Rules'!$L$5:$N$13,3,FALSE),0)+IF($R69="Overdue",-10,IF($R69="Today",5,0))+MIN(15,$Z69*3))))</x:f>
      </x:c>
      <x:c r="P69" s="71" t="str">
        <x:f>IF($A69="","",IF(COUNTIF('Activity Log'!$C$6:$C$1005,$A69)=0,"",MAXIFS('Activity Log'!$B$6:$B$1005,'Activity Log'!$C$6:$C$1005,$A69)))</x:f>
      </x:c>
      <x:c r="Q69" s="71" t="str">
        <x:f>IF($A69="","",IF(COUNTIFS('Activity Log'!$C$6:$C$1005,$A69,'Activity Log'!$J$6:$J$1005,"No",'Activity Log'!$I$6:$I$1005,"&gt;0")=0,"",MINIFS('Activity Log'!$I$6:$I$1005,'Activity Log'!$C$6:$C$1005,$A69,'Activity Log'!$J$6:$J$1005,"No",'Activity Log'!$I$6:$I$1005,"&gt;0")))</x:f>
      </x:c>
      <x:c r="R69" s="57" t="str">
        <x:f>IF($C69="","",IF(OR($K69="Won",$K69="Lost",$K69="Disqualified"),"Closed",IF($Q69="","No date",IF(INT($Q69)&lt;TODAY(),"Overdue",IF(INT($Q69)=TODAY(),"Today",IF(INT($Q69)&lt;=TODAY()+7,"Next 7 days","Later"))))))</x:f>
      </x:c>
      <x:c r="S69" s="57" t="str">
        <x:f>IF(OR($C69="",$P69=""),"",TODAY()-INT($P69))</x:f>
      </x:c>
      <x:c r="T69" s="54"/>
      <x:c r="U69" s="54"/>
      <x:c r="V69" s="63"/>
      <x:c r="W69" s="74"/>
      <x:c r="X69" s="77" t="str">
        <x:f>IF($C69="","",IFERROR(VLOOKUP($M69,'Lists &amp; Rules'!$L$5:$N$13,2,FALSE),0))</x:f>
      </x:c>
      <x:c r="Y69" s="80" t="str">
        <x:f>IF(OR($C69="",$W69=""),"",ROUND($W69*$X69,0))</x:f>
      </x:c>
      <x:c r="Z69" s="57" t="str">
        <x:f>IF($A69="","",COUNTIF('Activity Log'!$C$6:$C$1005,$A69))</x:f>
      </x:c>
      <x:c r="AA69" s="68"/>
      <x:c r="AB69" s="63"/>
    </x:row>
    <x:row r="70">
      <x:c r="A70" s="54"/>
      <x:c r="B70" s="68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  <x:c r="N70" s="54"/>
      <x:c r="O70" s="57" t="str">
        <x:f>IF($C70="","",MAX(0,MIN(100,IFERROR(VLOOKUP($L70,'Lists &amp; Rules'!$P$5:$Q$8,2,FALSE),0)+IFERROR(VLOOKUP($N70,'Lists &amp; Rules'!$S$5:$T$7,2,FALSE),0)+IFERROR(VLOOKUP($M70,'Lists &amp; Rules'!$L$5:$N$13,3,FALSE),0)+IF($R70="Overdue",-10,IF($R70="Today",5,0))+MIN(15,$Z70*3))))</x:f>
      </x:c>
      <x:c r="P70" s="71" t="str">
        <x:f>IF($A70="","",IF(COUNTIF('Activity Log'!$C$6:$C$1005,$A70)=0,"",MAXIFS('Activity Log'!$B$6:$B$1005,'Activity Log'!$C$6:$C$1005,$A70)))</x:f>
      </x:c>
      <x:c r="Q70" s="71" t="str">
        <x:f>IF($A70="","",IF(COUNTIFS('Activity Log'!$C$6:$C$1005,$A70,'Activity Log'!$J$6:$J$1005,"No",'Activity Log'!$I$6:$I$1005,"&gt;0")=0,"",MINIFS('Activity Log'!$I$6:$I$1005,'Activity Log'!$C$6:$C$1005,$A70,'Activity Log'!$J$6:$J$1005,"No",'Activity Log'!$I$6:$I$1005,"&gt;0")))</x:f>
      </x:c>
      <x:c r="R70" s="57" t="str">
        <x:f>IF($C70="","",IF(OR($K70="Won",$K70="Lost",$K70="Disqualified"),"Closed",IF($Q70="","No date",IF(INT($Q70)&lt;TODAY(),"Overdue",IF(INT($Q70)=TODAY(),"Today",IF(INT($Q70)&lt;=TODAY()+7,"Next 7 days","Later"))))))</x:f>
      </x:c>
      <x:c r="S70" s="57" t="str">
        <x:f>IF(OR($C70="",$P70=""),"",TODAY()-INT($P70))</x:f>
      </x:c>
      <x:c r="T70" s="54"/>
      <x:c r="U70" s="54"/>
      <x:c r="V70" s="63"/>
      <x:c r="W70" s="74"/>
      <x:c r="X70" s="77" t="str">
        <x:f>IF($C70="","",IFERROR(VLOOKUP($M70,'Lists &amp; Rules'!$L$5:$N$13,2,FALSE),0))</x:f>
      </x:c>
      <x:c r="Y70" s="80" t="str">
        <x:f>IF(OR($C70="",$W70=""),"",ROUND($W70*$X70,0))</x:f>
      </x:c>
      <x:c r="Z70" s="57" t="str">
        <x:f>IF($A70="","",COUNTIF('Activity Log'!$C$6:$C$1005,$A70))</x:f>
      </x:c>
      <x:c r="AA70" s="68"/>
      <x:c r="AB70" s="63"/>
    </x:row>
    <x:row r="71">
      <x:c r="A71" s="54"/>
      <x:c r="B71" s="68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  <x:c r="N71" s="54"/>
      <x:c r="O71" s="57" t="str">
        <x:f>IF($C71="","",MAX(0,MIN(100,IFERROR(VLOOKUP($L71,'Lists &amp; Rules'!$P$5:$Q$8,2,FALSE),0)+IFERROR(VLOOKUP($N71,'Lists &amp; Rules'!$S$5:$T$7,2,FALSE),0)+IFERROR(VLOOKUP($M71,'Lists &amp; Rules'!$L$5:$N$13,3,FALSE),0)+IF($R71="Overdue",-10,IF($R71="Today",5,0))+MIN(15,$Z71*3))))</x:f>
      </x:c>
      <x:c r="P71" s="71" t="str">
        <x:f>IF($A71="","",IF(COUNTIF('Activity Log'!$C$6:$C$1005,$A71)=0,"",MAXIFS('Activity Log'!$B$6:$B$1005,'Activity Log'!$C$6:$C$1005,$A71)))</x:f>
      </x:c>
      <x:c r="Q71" s="71" t="str">
        <x:f>IF($A71="","",IF(COUNTIFS('Activity Log'!$C$6:$C$1005,$A71,'Activity Log'!$J$6:$J$1005,"No",'Activity Log'!$I$6:$I$1005,"&gt;0")=0,"",MINIFS('Activity Log'!$I$6:$I$1005,'Activity Log'!$C$6:$C$1005,$A71,'Activity Log'!$J$6:$J$1005,"No",'Activity Log'!$I$6:$I$1005,"&gt;0")))</x:f>
      </x:c>
      <x:c r="R71" s="57" t="str">
        <x:f>IF($C71="","",IF(OR($K71="Won",$K71="Lost",$K71="Disqualified"),"Closed",IF($Q71="","No date",IF(INT($Q71)&lt;TODAY(),"Overdue",IF(INT($Q71)=TODAY(),"Today",IF(INT($Q71)&lt;=TODAY()+7,"Next 7 days","Later"))))))</x:f>
      </x:c>
      <x:c r="S71" s="57" t="str">
        <x:f>IF(OR($C71="",$P71=""),"",TODAY()-INT($P71))</x:f>
      </x:c>
      <x:c r="T71" s="54"/>
      <x:c r="U71" s="54"/>
      <x:c r="V71" s="63"/>
      <x:c r="W71" s="74"/>
      <x:c r="X71" s="77" t="str">
        <x:f>IF($C71="","",IFERROR(VLOOKUP($M71,'Lists &amp; Rules'!$L$5:$N$13,2,FALSE),0))</x:f>
      </x:c>
      <x:c r="Y71" s="80" t="str">
        <x:f>IF(OR($C71="",$W71=""),"",ROUND($W71*$X71,0))</x:f>
      </x:c>
      <x:c r="Z71" s="57" t="str">
        <x:f>IF($A71="","",COUNTIF('Activity Log'!$C$6:$C$1005,$A71))</x:f>
      </x:c>
      <x:c r="AA71" s="68"/>
      <x:c r="AB71" s="63"/>
    </x:row>
    <x:row r="72">
      <x:c r="A72" s="54"/>
      <x:c r="B72" s="68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  <x:c r="N72" s="54"/>
      <x:c r="O72" s="57" t="str">
        <x:f>IF($C72="","",MAX(0,MIN(100,IFERROR(VLOOKUP($L72,'Lists &amp; Rules'!$P$5:$Q$8,2,FALSE),0)+IFERROR(VLOOKUP($N72,'Lists &amp; Rules'!$S$5:$T$7,2,FALSE),0)+IFERROR(VLOOKUP($M72,'Lists &amp; Rules'!$L$5:$N$13,3,FALSE),0)+IF($R72="Overdue",-10,IF($R72="Today",5,0))+MIN(15,$Z72*3))))</x:f>
      </x:c>
      <x:c r="P72" s="71" t="str">
        <x:f>IF($A72="","",IF(COUNTIF('Activity Log'!$C$6:$C$1005,$A72)=0,"",MAXIFS('Activity Log'!$B$6:$B$1005,'Activity Log'!$C$6:$C$1005,$A72)))</x:f>
      </x:c>
      <x:c r="Q72" s="71" t="str">
        <x:f>IF($A72="","",IF(COUNTIFS('Activity Log'!$C$6:$C$1005,$A72,'Activity Log'!$J$6:$J$1005,"No",'Activity Log'!$I$6:$I$1005,"&gt;0")=0,"",MINIFS('Activity Log'!$I$6:$I$1005,'Activity Log'!$C$6:$C$1005,$A72,'Activity Log'!$J$6:$J$1005,"No",'Activity Log'!$I$6:$I$1005,"&gt;0")))</x:f>
      </x:c>
      <x:c r="R72" s="57" t="str">
        <x:f>IF($C72="","",IF(OR($K72="Won",$K72="Lost",$K72="Disqualified"),"Closed",IF($Q72="","No date",IF(INT($Q72)&lt;TODAY(),"Overdue",IF(INT($Q72)=TODAY(),"Today",IF(INT($Q72)&lt;=TODAY()+7,"Next 7 days","Later"))))))</x:f>
      </x:c>
      <x:c r="S72" s="57" t="str">
        <x:f>IF(OR($C72="",$P72=""),"",TODAY()-INT($P72))</x:f>
      </x:c>
      <x:c r="T72" s="54"/>
      <x:c r="U72" s="54"/>
      <x:c r="V72" s="63"/>
      <x:c r="W72" s="74"/>
      <x:c r="X72" s="77" t="str">
        <x:f>IF($C72="","",IFERROR(VLOOKUP($M72,'Lists &amp; Rules'!$L$5:$N$13,2,FALSE),0))</x:f>
      </x:c>
      <x:c r="Y72" s="80" t="str">
        <x:f>IF(OR($C72="",$W72=""),"",ROUND($W72*$X72,0))</x:f>
      </x:c>
      <x:c r="Z72" s="57" t="str">
        <x:f>IF($A72="","",COUNTIF('Activity Log'!$C$6:$C$1005,$A72))</x:f>
      </x:c>
      <x:c r="AA72" s="68"/>
      <x:c r="AB72" s="63"/>
    </x:row>
    <x:row r="73">
      <x:c r="A73" s="54"/>
      <x:c r="B73" s="68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  <x:c r="N73" s="54"/>
      <x:c r="O73" s="57" t="str">
        <x:f>IF($C73="","",MAX(0,MIN(100,IFERROR(VLOOKUP($L73,'Lists &amp; Rules'!$P$5:$Q$8,2,FALSE),0)+IFERROR(VLOOKUP($N73,'Lists &amp; Rules'!$S$5:$T$7,2,FALSE),0)+IFERROR(VLOOKUP($M73,'Lists &amp; Rules'!$L$5:$N$13,3,FALSE),0)+IF($R73="Overdue",-10,IF($R73="Today",5,0))+MIN(15,$Z73*3))))</x:f>
      </x:c>
      <x:c r="P73" s="71" t="str">
        <x:f>IF($A73="","",IF(COUNTIF('Activity Log'!$C$6:$C$1005,$A73)=0,"",MAXIFS('Activity Log'!$B$6:$B$1005,'Activity Log'!$C$6:$C$1005,$A73)))</x:f>
      </x:c>
      <x:c r="Q73" s="71" t="str">
        <x:f>IF($A73="","",IF(COUNTIFS('Activity Log'!$C$6:$C$1005,$A73,'Activity Log'!$J$6:$J$1005,"No",'Activity Log'!$I$6:$I$1005,"&gt;0")=0,"",MINIFS('Activity Log'!$I$6:$I$1005,'Activity Log'!$C$6:$C$1005,$A73,'Activity Log'!$J$6:$J$1005,"No",'Activity Log'!$I$6:$I$1005,"&gt;0")))</x:f>
      </x:c>
      <x:c r="R73" s="57" t="str">
        <x:f>IF($C73="","",IF(OR($K73="Won",$K73="Lost",$K73="Disqualified"),"Closed",IF($Q73="","No date",IF(INT($Q73)&lt;TODAY(),"Overdue",IF(INT($Q73)=TODAY(),"Today",IF(INT($Q73)&lt;=TODAY()+7,"Next 7 days","Later"))))))</x:f>
      </x:c>
      <x:c r="S73" s="57" t="str">
        <x:f>IF(OR($C73="",$P73=""),"",TODAY()-INT($P73))</x:f>
      </x:c>
      <x:c r="T73" s="54"/>
      <x:c r="U73" s="54"/>
      <x:c r="V73" s="63"/>
      <x:c r="W73" s="74"/>
      <x:c r="X73" s="77" t="str">
        <x:f>IF($C73="","",IFERROR(VLOOKUP($M73,'Lists &amp; Rules'!$L$5:$N$13,2,FALSE),0))</x:f>
      </x:c>
      <x:c r="Y73" s="80" t="str">
        <x:f>IF(OR($C73="",$W73=""),"",ROUND($W73*$X73,0))</x:f>
      </x:c>
      <x:c r="Z73" s="57" t="str">
        <x:f>IF($A73="","",COUNTIF('Activity Log'!$C$6:$C$1005,$A73))</x:f>
      </x:c>
      <x:c r="AA73" s="68"/>
      <x:c r="AB73" s="63"/>
    </x:row>
    <x:row r="74">
      <x:c r="A74" s="54"/>
      <x:c r="B74" s="68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  <x:c r="N74" s="54"/>
      <x:c r="O74" s="57" t="str">
        <x:f>IF($C74="","",MAX(0,MIN(100,IFERROR(VLOOKUP($L74,'Lists &amp; Rules'!$P$5:$Q$8,2,FALSE),0)+IFERROR(VLOOKUP($N74,'Lists &amp; Rules'!$S$5:$T$7,2,FALSE),0)+IFERROR(VLOOKUP($M74,'Lists &amp; Rules'!$L$5:$N$13,3,FALSE),0)+IF($R74="Overdue",-10,IF($R74="Today",5,0))+MIN(15,$Z74*3))))</x:f>
      </x:c>
      <x:c r="P74" s="71" t="str">
        <x:f>IF($A74="","",IF(COUNTIF('Activity Log'!$C$6:$C$1005,$A74)=0,"",MAXIFS('Activity Log'!$B$6:$B$1005,'Activity Log'!$C$6:$C$1005,$A74)))</x:f>
      </x:c>
      <x:c r="Q74" s="71" t="str">
        <x:f>IF($A74="","",IF(COUNTIFS('Activity Log'!$C$6:$C$1005,$A74,'Activity Log'!$J$6:$J$1005,"No",'Activity Log'!$I$6:$I$1005,"&gt;0")=0,"",MINIFS('Activity Log'!$I$6:$I$1005,'Activity Log'!$C$6:$C$1005,$A74,'Activity Log'!$J$6:$J$1005,"No",'Activity Log'!$I$6:$I$1005,"&gt;0")))</x:f>
      </x:c>
      <x:c r="R74" s="57" t="str">
        <x:f>IF($C74="","",IF(OR($K74="Won",$K74="Lost",$K74="Disqualified"),"Closed",IF($Q74="","No date",IF(INT($Q74)&lt;TODAY(),"Overdue",IF(INT($Q74)=TODAY(),"Today",IF(INT($Q74)&lt;=TODAY()+7,"Next 7 days","Later"))))))</x:f>
      </x:c>
      <x:c r="S74" s="57" t="str">
        <x:f>IF(OR($C74="",$P74=""),"",TODAY()-INT($P74))</x:f>
      </x:c>
      <x:c r="T74" s="54"/>
      <x:c r="U74" s="54"/>
      <x:c r="V74" s="63"/>
      <x:c r="W74" s="74"/>
      <x:c r="X74" s="77" t="str">
        <x:f>IF($C74="","",IFERROR(VLOOKUP($M74,'Lists &amp; Rules'!$L$5:$N$13,2,FALSE),0))</x:f>
      </x:c>
      <x:c r="Y74" s="80" t="str">
        <x:f>IF(OR($C74="",$W74=""),"",ROUND($W74*$X74,0))</x:f>
      </x:c>
      <x:c r="Z74" s="57" t="str">
        <x:f>IF($A74="","",COUNTIF('Activity Log'!$C$6:$C$1005,$A74))</x:f>
      </x:c>
      <x:c r="AA74" s="68"/>
      <x:c r="AB74" s="63"/>
    </x:row>
    <x:row r="75">
      <x:c r="A75" s="54"/>
      <x:c r="B75" s="68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  <x:c r="N75" s="54"/>
      <x:c r="O75" s="57" t="str">
        <x:f>IF($C75="","",MAX(0,MIN(100,IFERROR(VLOOKUP($L75,'Lists &amp; Rules'!$P$5:$Q$8,2,FALSE),0)+IFERROR(VLOOKUP($N75,'Lists &amp; Rules'!$S$5:$T$7,2,FALSE),0)+IFERROR(VLOOKUP($M75,'Lists &amp; Rules'!$L$5:$N$13,3,FALSE),0)+IF($R75="Overdue",-10,IF($R75="Today",5,0))+MIN(15,$Z75*3))))</x:f>
      </x:c>
      <x:c r="P75" s="71" t="str">
        <x:f>IF($A75="","",IF(COUNTIF('Activity Log'!$C$6:$C$1005,$A75)=0,"",MAXIFS('Activity Log'!$B$6:$B$1005,'Activity Log'!$C$6:$C$1005,$A75)))</x:f>
      </x:c>
      <x:c r="Q75" s="71" t="str">
        <x:f>IF($A75="","",IF(COUNTIFS('Activity Log'!$C$6:$C$1005,$A75,'Activity Log'!$J$6:$J$1005,"No",'Activity Log'!$I$6:$I$1005,"&gt;0")=0,"",MINIFS('Activity Log'!$I$6:$I$1005,'Activity Log'!$C$6:$C$1005,$A75,'Activity Log'!$J$6:$J$1005,"No",'Activity Log'!$I$6:$I$1005,"&gt;0")))</x:f>
      </x:c>
      <x:c r="R75" s="57" t="str">
        <x:f>IF($C75="","",IF(OR($K75="Won",$K75="Lost",$K75="Disqualified"),"Closed",IF($Q75="","No date",IF(INT($Q75)&lt;TODAY(),"Overdue",IF(INT($Q75)=TODAY(),"Today",IF(INT($Q75)&lt;=TODAY()+7,"Next 7 days","Later"))))))</x:f>
      </x:c>
      <x:c r="S75" s="57" t="str">
        <x:f>IF(OR($C75="",$P75=""),"",TODAY()-INT($P75))</x:f>
      </x:c>
      <x:c r="T75" s="54"/>
      <x:c r="U75" s="54"/>
      <x:c r="V75" s="63"/>
      <x:c r="W75" s="74"/>
      <x:c r="X75" s="77" t="str">
        <x:f>IF($C75="","",IFERROR(VLOOKUP($M75,'Lists &amp; Rules'!$L$5:$N$13,2,FALSE),0))</x:f>
      </x:c>
      <x:c r="Y75" s="80" t="str">
        <x:f>IF(OR($C75="",$W75=""),"",ROUND($W75*$X75,0))</x:f>
      </x:c>
      <x:c r="Z75" s="57" t="str">
        <x:f>IF($A75="","",COUNTIF('Activity Log'!$C$6:$C$1005,$A75))</x:f>
      </x:c>
      <x:c r="AA75" s="68"/>
      <x:c r="AB75" s="63"/>
    </x:row>
    <x:row r="76">
      <x:c r="A76" s="54"/>
      <x:c r="B76" s="68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  <x:c r="N76" s="54"/>
      <x:c r="O76" s="57" t="str">
        <x:f>IF($C76="","",MAX(0,MIN(100,IFERROR(VLOOKUP($L76,'Lists &amp; Rules'!$P$5:$Q$8,2,FALSE),0)+IFERROR(VLOOKUP($N76,'Lists &amp; Rules'!$S$5:$T$7,2,FALSE),0)+IFERROR(VLOOKUP($M76,'Lists &amp; Rules'!$L$5:$N$13,3,FALSE),0)+IF($R76="Overdue",-10,IF($R76="Today",5,0))+MIN(15,$Z76*3))))</x:f>
      </x:c>
      <x:c r="P76" s="71" t="str">
        <x:f>IF($A76="","",IF(COUNTIF('Activity Log'!$C$6:$C$1005,$A76)=0,"",MAXIFS('Activity Log'!$B$6:$B$1005,'Activity Log'!$C$6:$C$1005,$A76)))</x:f>
      </x:c>
      <x:c r="Q76" s="71" t="str">
        <x:f>IF($A76="","",IF(COUNTIFS('Activity Log'!$C$6:$C$1005,$A76,'Activity Log'!$J$6:$J$1005,"No",'Activity Log'!$I$6:$I$1005,"&gt;0")=0,"",MINIFS('Activity Log'!$I$6:$I$1005,'Activity Log'!$C$6:$C$1005,$A76,'Activity Log'!$J$6:$J$1005,"No",'Activity Log'!$I$6:$I$1005,"&gt;0")))</x:f>
      </x:c>
      <x:c r="R76" s="57" t="str">
        <x:f>IF($C76="","",IF(OR($K76="Won",$K76="Lost",$K76="Disqualified"),"Closed",IF($Q76="","No date",IF(INT($Q76)&lt;TODAY(),"Overdue",IF(INT($Q76)=TODAY(),"Today",IF(INT($Q76)&lt;=TODAY()+7,"Next 7 days","Later"))))))</x:f>
      </x:c>
      <x:c r="S76" s="57" t="str">
        <x:f>IF(OR($C76="",$P76=""),"",TODAY()-INT($P76))</x:f>
      </x:c>
      <x:c r="T76" s="54"/>
      <x:c r="U76" s="54"/>
      <x:c r="V76" s="63"/>
      <x:c r="W76" s="74"/>
      <x:c r="X76" s="77" t="str">
        <x:f>IF($C76="","",IFERROR(VLOOKUP($M76,'Lists &amp; Rules'!$L$5:$N$13,2,FALSE),0))</x:f>
      </x:c>
      <x:c r="Y76" s="80" t="str">
        <x:f>IF(OR($C76="",$W76=""),"",ROUND($W76*$X76,0))</x:f>
      </x:c>
      <x:c r="Z76" s="57" t="str">
        <x:f>IF($A76="","",COUNTIF('Activity Log'!$C$6:$C$1005,$A76))</x:f>
      </x:c>
      <x:c r="AA76" s="68"/>
      <x:c r="AB76" s="63"/>
    </x:row>
    <x:row r="77">
      <x:c r="A77" s="54"/>
      <x:c r="B77" s="68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  <x:c r="N77" s="54"/>
      <x:c r="O77" s="57" t="str">
        <x:f>IF($C77="","",MAX(0,MIN(100,IFERROR(VLOOKUP($L77,'Lists &amp; Rules'!$P$5:$Q$8,2,FALSE),0)+IFERROR(VLOOKUP($N77,'Lists &amp; Rules'!$S$5:$T$7,2,FALSE),0)+IFERROR(VLOOKUP($M77,'Lists &amp; Rules'!$L$5:$N$13,3,FALSE),0)+IF($R77="Overdue",-10,IF($R77="Today",5,0))+MIN(15,$Z77*3))))</x:f>
      </x:c>
      <x:c r="P77" s="71" t="str">
        <x:f>IF($A77="","",IF(COUNTIF('Activity Log'!$C$6:$C$1005,$A77)=0,"",MAXIFS('Activity Log'!$B$6:$B$1005,'Activity Log'!$C$6:$C$1005,$A77)))</x:f>
      </x:c>
      <x:c r="Q77" s="71" t="str">
        <x:f>IF($A77="","",IF(COUNTIFS('Activity Log'!$C$6:$C$1005,$A77,'Activity Log'!$J$6:$J$1005,"No",'Activity Log'!$I$6:$I$1005,"&gt;0")=0,"",MINIFS('Activity Log'!$I$6:$I$1005,'Activity Log'!$C$6:$C$1005,$A77,'Activity Log'!$J$6:$J$1005,"No",'Activity Log'!$I$6:$I$1005,"&gt;0")))</x:f>
      </x:c>
      <x:c r="R77" s="57" t="str">
        <x:f>IF($C77="","",IF(OR($K77="Won",$K77="Lost",$K77="Disqualified"),"Closed",IF($Q77="","No date",IF(INT($Q77)&lt;TODAY(),"Overdue",IF(INT($Q77)=TODAY(),"Today",IF(INT($Q77)&lt;=TODAY()+7,"Next 7 days","Later"))))))</x:f>
      </x:c>
      <x:c r="S77" s="57" t="str">
        <x:f>IF(OR($C77="",$P77=""),"",TODAY()-INT($P77))</x:f>
      </x:c>
      <x:c r="T77" s="54"/>
      <x:c r="U77" s="54"/>
      <x:c r="V77" s="63"/>
      <x:c r="W77" s="74"/>
      <x:c r="X77" s="77" t="str">
        <x:f>IF($C77="","",IFERROR(VLOOKUP($M77,'Lists &amp; Rules'!$L$5:$N$13,2,FALSE),0))</x:f>
      </x:c>
      <x:c r="Y77" s="80" t="str">
        <x:f>IF(OR($C77="",$W77=""),"",ROUND($W77*$X77,0))</x:f>
      </x:c>
      <x:c r="Z77" s="57" t="str">
        <x:f>IF($A77="","",COUNTIF('Activity Log'!$C$6:$C$1005,$A77))</x:f>
      </x:c>
      <x:c r="AA77" s="68"/>
      <x:c r="AB77" s="63"/>
    </x:row>
    <x:row r="78">
      <x:c r="A78" s="54"/>
      <x:c r="B78" s="68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  <x:c r="N78" s="54"/>
      <x:c r="O78" s="57" t="str">
        <x:f>IF($C78="","",MAX(0,MIN(100,IFERROR(VLOOKUP($L78,'Lists &amp; Rules'!$P$5:$Q$8,2,FALSE),0)+IFERROR(VLOOKUP($N78,'Lists &amp; Rules'!$S$5:$T$7,2,FALSE),0)+IFERROR(VLOOKUP($M78,'Lists &amp; Rules'!$L$5:$N$13,3,FALSE),0)+IF($R78="Overdue",-10,IF($R78="Today",5,0))+MIN(15,$Z78*3))))</x:f>
      </x:c>
      <x:c r="P78" s="71" t="str">
        <x:f>IF($A78="","",IF(COUNTIF('Activity Log'!$C$6:$C$1005,$A78)=0,"",MAXIFS('Activity Log'!$B$6:$B$1005,'Activity Log'!$C$6:$C$1005,$A78)))</x:f>
      </x:c>
      <x:c r="Q78" s="71" t="str">
        <x:f>IF($A78="","",IF(COUNTIFS('Activity Log'!$C$6:$C$1005,$A78,'Activity Log'!$J$6:$J$1005,"No",'Activity Log'!$I$6:$I$1005,"&gt;0")=0,"",MINIFS('Activity Log'!$I$6:$I$1005,'Activity Log'!$C$6:$C$1005,$A78,'Activity Log'!$J$6:$J$1005,"No",'Activity Log'!$I$6:$I$1005,"&gt;0")))</x:f>
      </x:c>
      <x:c r="R78" s="57" t="str">
        <x:f>IF($C78="","",IF(OR($K78="Won",$K78="Lost",$K78="Disqualified"),"Closed",IF($Q78="","No date",IF(INT($Q78)&lt;TODAY(),"Overdue",IF(INT($Q78)=TODAY(),"Today",IF(INT($Q78)&lt;=TODAY()+7,"Next 7 days","Later"))))))</x:f>
      </x:c>
      <x:c r="S78" s="57" t="str">
        <x:f>IF(OR($C78="",$P78=""),"",TODAY()-INT($P78))</x:f>
      </x:c>
      <x:c r="T78" s="54"/>
      <x:c r="U78" s="54"/>
      <x:c r="V78" s="63"/>
      <x:c r="W78" s="74"/>
      <x:c r="X78" s="77" t="str">
        <x:f>IF($C78="","",IFERROR(VLOOKUP($M78,'Lists &amp; Rules'!$L$5:$N$13,2,FALSE),0))</x:f>
      </x:c>
      <x:c r="Y78" s="80" t="str">
        <x:f>IF(OR($C78="",$W78=""),"",ROUND($W78*$X78,0))</x:f>
      </x:c>
      <x:c r="Z78" s="57" t="str">
        <x:f>IF($A78="","",COUNTIF('Activity Log'!$C$6:$C$1005,$A78))</x:f>
      </x:c>
      <x:c r="AA78" s="68"/>
      <x:c r="AB78" s="63"/>
    </x:row>
    <x:row r="79">
      <x:c r="A79" s="54"/>
      <x:c r="B79" s="68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  <x:c r="N79" s="54"/>
      <x:c r="O79" s="57" t="str">
        <x:f>IF($C79="","",MAX(0,MIN(100,IFERROR(VLOOKUP($L79,'Lists &amp; Rules'!$P$5:$Q$8,2,FALSE),0)+IFERROR(VLOOKUP($N79,'Lists &amp; Rules'!$S$5:$T$7,2,FALSE),0)+IFERROR(VLOOKUP($M79,'Lists &amp; Rules'!$L$5:$N$13,3,FALSE),0)+IF($R79="Overdue",-10,IF($R79="Today",5,0))+MIN(15,$Z79*3))))</x:f>
      </x:c>
      <x:c r="P79" s="71" t="str">
        <x:f>IF($A79="","",IF(COUNTIF('Activity Log'!$C$6:$C$1005,$A79)=0,"",MAXIFS('Activity Log'!$B$6:$B$1005,'Activity Log'!$C$6:$C$1005,$A79)))</x:f>
      </x:c>
      <x:c r="Q79" s="71" t="str">
        <x:f>IF($A79="","",IF(COUNTIFS('Activity Log'!$C$6:$C$1005,$A79,'Activity Log'!$J$6:$J$1005,"No",'Activity Log'!$I$6:$I$1005,"&gt;0")=0,"",MINIFS('Activity Log'!$I$6:$I$1005,'Activity Log'!$C$6:$C$1005,$A79,'Activity Log'!$J$6:$J$1005,"No",'Activity Log'!$I$6:$I$1005,"&gt;0")))</x:f>
      </x:c>
      <x:c r="R79" s="57" t="str">
        <x:f>IF($C79="","",IF(OR($K79="Won",$K79="Lost",$K79="Disqualified"),"Closed",IF($Q79="","No date",IF(INT($Q79)&lt;TODAY(),"Overdue",IF(INT($Q79)=TODAY(),"Today",IF(INT($Q79)&lt;=TODAY()+7,"Next 7 days","Later"))))))</x:f>
      </x:c>
      <x:c r="S79" s="57" t="str">
        <x:f>IF(OR($C79="",$P79=""),"",TODAY()-INT($P79))</x:f>
      </x:c>
      <x:c r="T79" s="54"/>
      <x:c r="U79" s="54"/>
      <x:c r="V79" s="63"/>
      <x:c r="W79" s="74"/>
      <x:c r="X79" s="77" t="str">
        <x:f>IF($C79="","",IFERROR(VLOOKUP($M79,'Lists &amp; Rules'!$L$5:$N$13,2,FALSE),0))</x:f>
      </x:c>
      <x:c r="Y79" s="80" t="str">
        <x:f>IF(OR($C79="",$W79=""),"",ROUND($W79*$X79,0))</x:f>
      </x:c>
      <x:c r="Z79" s="57" t="str">
        <x:f>IF($A79="","",COUNTIF('Activity Log'!$C$6:$C$1005,$A79))</x:f>
      </x:c>
      <x:c r="AA79" s="68"/>
      <x:c r="AB79" s="63"/>
    </x:row>
    <x:row r="80">
      <x:c r="A80" s="54"/>
      <x:c r="B80" s="68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  <x:c r="N80" s="54"/>
      <x:c r="O80" s="57" t="str">
        <x:f>IF($C80="","",MAX(0,MIN(100,IFERROR(VLOOKUP($L80,'Lists &amp; Rules'!$P$5:$Q$8,2,FALSE),0)+IFERROR(VLOOKUP($N80,'Lists &amp; Rules'!$S$5:$T$7,2,FALSE),0)+IFERROR(VLOOKUP($M80,'Lists &amp; Rules'!$L$5:$N$13,3,FALSE),0)+IF($R80="Overdue",-10,IF($R80="Today",5,0))+MIN(15,$Z80*3))))</x:f>
      </x:c>
      <x:c r="P80" s="71" t="str">
        <x:f>IF($A80="","",IF(COUNTIF('Activity Log'!$C$6:$C$1005,$A80)=0,"",MAXIFS('Activity Log'!$B$6:$B$1005,'Activity Log'!$C$6:$C$1005,$A80)))</x:f>
      </x:c>
      <x:c r="Q80" s="71" t="str">
        <x:f>IF($A80="","",IF(COUNTIFS('Activity Log'!$C$6:$C$1005,$A80,'Activity Log'!$J$6:$J$1005,"No",'Activity Log'!$I$6:$I$1005,"&gt;0")=0,"",MINIFS('Activity Log'!$I$6:$I$1005,'Activity Log'!$C$6:$C$1005,$A80,'Activity Log'!$J$6:$J$1005,"No",'Activity Log'!$I$6:$I$1005,"&gt;0")))</x:f>
      </x:c>
      <x:c r="R80" s="57" t="str">
        <x:f>IF($C80="","",IF(OR($K80="Won",$K80="Lost",$K80="Disqualified"),"Closed",IF($Q80="","No date",IF(INT($Q80)&lt;TODAY(),"Overdue",IF(INT($Q80)=TODAY(),"Today",IF(INT($Q80)&lt;=TODAY()+7,"Next 7 days","Later"))))))</x:f>
      </x:c>
      <x:c r="S80" s="57" t="str">
        <x:f>IF(OR($C80="",$P80=""),"",TODAY()-INT($P80))</x:f>
      </x:c>
      <x:c r="T80" s="54"/>
      <x:c r="U80" s="54"/>
      <x:c r="V80" s="63"/>
      <x:c r="W80" s="74"/>
      <x:c r="X80" s="77" t="str">
        <x:f>IF($C80="","",IFERROR(VLOOKUP($M80,'Lists &amp; Rules'!$L$5:$N$13,2,FALSE),0))</x:f>
      </x:c>
      <x:c r="Y80" s="80" t="str">
        <x:f>IF(OR($C80="",$W80=""),"",ROUND($W80*$X80,0))</x:f>
      </x:c>
      <x:c r="Z80" s="57" t="str">
        <x:f>IF($A80="","",COUNTIF('Activity Log'!$C$6:$C$1005,$A80))</x:f>
      </x:c>
      <x:c r="AA80" s="68"/>
      <x:c r="AB80" s="63"/>
    </x:row>
    <x:row r="81">
      <x:c r="A81" s="54"/>
      <x:c r="B81" s="68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  <x:c r="N81" s="54"/>
      <x:c r="O81" s="57" t="str">
        <x:f>IF($C81="","",MAX(0,MIN(100,IFERROR(VLOOKUP($L81,'Lists &amp; Rules'!$P$5:$Q$8,2,FALSE),0)+IFERROR(VLOOKUP($N81,'Lists &amp; Rules'!$S$5:$T$7,2,FALSE),0)+IFERROR(VLOOKUP($M81,'Lists &amp; Rules'!$L$5:$N$13,3,FALSE),0)+IF($R81="Overdue",-10,IF($R81="Today",5,0))+MIN(15,$Z81*3))))</x:f>
      </x:c>
      <x:c r="P81" s="71" t="str">
        <x:f>IF($A81="","",IF(COUNTIF('Activity Log'!$C$6:$C$1005,$A81)=0,"",MAXIFS('Activity Log'!$B$6:$B$1005,'Activity Log'!$C$6:$C$1005,$A81)))</x:f>
      </x:c>
      <x:c r="Q81" s="71" t="str">
        <x:f>IF($A81="","",IF(COUNTIFS('Activity Log'!$C$6:$C$1005,$A81,'Activity Log'!$J$6:$J$1005,"No",'Activity Log'!$I$6:$I$1005,"&gt;0")=0,"",MINIFS('Activity Log'!$I$6:$I$1005,'Activity Log'!$C$6:$C$1005,$A81,'Activity Log'!$J$6:$J$1005,"No",'Activity Log'!$I$6:$I$1005,"&gt;0")))</x:f>
      </x:c>
      <x:c r="R81" s="57" t="str">
        <x:f>IF($C81="","",IF(OR($K81="Won",$K81="Lost",$K81="Disqualified"),"Closed",IF($Q81="","No date",IF(INT($Q81)&lt;TODAY(),"Overdue",IF(INT($Q81)=TODAY(),"Today",IF(INT($Q81)&lt;=TODAY()+7,"Next 7 days","Later"))))))</x:f>
      </x:c>
      <x:c r="S81" s="57" t="str">
        <x:f>IF(OR($C81="",$P81=""),"",TODAY()-INT($P81))</x:f>
      </x:c>
      <x:c r="T81" s="54"/>
      <x:c r="U81" s="54"/>
      <x:c r="V81" s="63"/>
      <x:c r="W81" s="74"/>
      <x:c r="X81" s="77" t="str">
        <x:f>IF($C81="","",IFERROR(VLOOKUP($M81,'Lists &amp; Rules'!$L$5:$N$13,2,FALSE),0))</x:f>
      </x:c>
      <x:c r="Y81" s="80" t="str">
        <x:f>IF(OR($C81="",$W81=""),"",ROUND($W81*$X81,0))</x:f>
      </x:c>
      <x:c r="Z81" s="57" t="str">
        <x:f>IF($A81="","",COUNTIF('Activity Log'!$C$6:$C$1005,$A81))</x:f>
      </x:c>
      <x:c r="AA81" s="68"/>
      <x:c r="AB81" s="63"/>
    </x:row>
    <x:row r="82">
      <x:c r="A82" s="54"/>
      <x:c r="B82" s="68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  <x:c r="N82" s="54"/>
      <x:c r="O82" s="57" t="str">
        <x:f>IF($C82="","",MAX(0,MIN(100,IFERROR(VLOOKUP($L82,'Lists &amp; Rules'!$P$5:$Q$8,2,FALSE),0)+IFERROR(VLOOKUP($N82,'Lists &amp; Rules'!$S$5:$T$7,2,FALSE),0)+IFERROR(VLOOKUP($M82,'Lists &amp; Rules'!$L$5:$N$13,3,FALSE),0)+IF($R82="Overdue",-10,IF($R82="Today",5,0))+MIN(15,$Z82*3))))</x:f>
      </x:c>
      <x:c r="P82" s="71" t="str">
        <x:f>IF($A82="","",IF(COUNTIF('Activity Log'!$C$6:$C$1005,$A82)=0,"",MAXIFS('Activity Log'!$B$6:$B$1005,'Activity Log'!$C$6:$C$1005,$A82)))</x:f>
      </x:c>
      <x:c r="Q82" s="71" t="str">
        <x:f>IF($A82="","",IF(COUNTIFS('Activity Log'!$C$6:$C$1005,$A82,'Activity Log'!$J$6:$J$1005,"No",'Activity Log'!$I$6:$I$1005,"&gt;0")=0,"",MINIFS('Activity Log'!$I$6:$I$1005,'Activity Log'!$C$6:$C$1005,$A82,'Activity Log'!$J$6:$J$1005,"No",'Activity Log'!$I$6:$I$1005,"&gt;0")))</x:f>
      </x:c>
      <x:c r="R82" s="57" t="str">
        <x:f>IF($C82="","",IF(OR($K82="Won",$K82="Lost",$K82="Disqualified"),"Closed",IF($Q82="","No date",IF(INT($Q82)&lt;TODAY(),"Overdue",IF(INT($Q82)=TODAY(),"Today",IF(INT($Q82)&lt;=TODAY()+7,"Next 7 days","Later"))))))</x:f>
      </x:c>
      <x:c r="S82" s="57" t="str">
        <x:f>IF(OR($C82="",$P82=""),"",TODAY()-INT($P82))</x:f>
      </x:c>
      <x:c r="T82" s="54"/>
      <x:c r="U82" s="54"/>
      <x:c r="V82" s="63"/>
      <x:c r="W82" s="74"/>
      <x:c r="X82" s="77" t="str">
        <x:f>IF($C82="","",IFERROR(VLOOKUP($M82,'Lists &amp; Rules'!$L$5:$N$13,2,FALSE),0))</x:f>
      </x:c>
      <x:c r="Y82" s="80" t="str">
        <x:f>IF(OR($C82="",$W82=""),"",ROUND($W82*$X82,0))</x:f>
      </x:c>
      <x:c r="Z82" s="57" t="str">
        <x:f>IF($A82="","",COUNTIF('Activity Log'!$C$6:$C$1005,$A82))</x:f>
      </x:c>
      <x:c r="AA82" s="68"/>
      <x:c r="AB82" s="63"/>
    </x:row>
    <x:row r="83">
      <x:c r="A83" s="54"/>
      <x:c r="B83" s="68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  <x:c r="N83" s="54"/>
      <x:c r="O83" s="57" t="str">
        <x:f>IF($C83="","",MAX(0,MIN(100,IFERROR(VLOOKUP($L83,'Lists &amp; Rules'!$P$5:$Q$8,2,FALSE),0)+IFERROR(VLOOKUP($N83,'Lists &amp; Rules'!$S$5:$T$7,2,FALSE),0)+IFERROR(VLOOKUP($M83,'Lists &amp; Rules'!$L$5:$N$13,3,FALSE),0)+IF($R83="Overdue",-10,IF($R83="Today",5,0))+MIN(15,$Z83*3))))</x:f>
      </x:c>
      <x:c r="P83" s="71" t="str">
        <x:f>IF($A83="","",IF(COUNTIF('Activity Log'!$C$6:$C$1005,$A83)=0,"",MAXIFS('Activity Log'!$B$6:$B$1005,'Activity Log'!$C$6:$C$1005,$A83)))</x:f>
      </x:c>
      <x:c r="Q83" s="71" t="str">
        <x:f>IF($A83="","",IF(COUNTIFS('Activity Log'!$C$6:$C$1005,$A83,'Activity Log'!$J$6:$J$1005,"No",'Activity Log'!$I$6:$I$1005,"&gt;0")=0,"",MINIFS('Activity Log'!$I$6:$I$1005,'Activity Log'!$C$6:$C$1005,$A83,'Activity Log'!$J$6:$J$1005,"No",'Activity Log'!$I$6:$I$1005,"&gt;0")))</x:f>
      </x:c>
      <x:c r="R83" s="57" t="str">
        <x:f>IF($C83="","",IF(OR($K83="Won",$K83="Lost",$K83="Disqualified"),"Closed",IF($Q83="","No date",IF(INT($Q83)&lt;TODAY(),"Overdue",IF(INT($Q83)=TODAY(),"Today",IF(INT($Q83)&lt;=TODAY()+7,"Next 7 days","Later"))))))</x:f>
      </x:c>
      <x:c r="S83" s="57" t="str">
        <x:f>IF(OR($C83="",$P83=""),"",TODAY()-INT($P83))</x:f>
      </x:c>
      <x:c r="T83" s="54"/>
      <x:c r="U83" s="54"/>
      <x:c r="V83" s="63"/>
      <x:c r="W83" s="74"/>
      <x:c r="X83" s="77" t="str">
        <x:f>IF($C83="","",IFERROR(VLOOKUP($M83,'Lists &amp; Rules'!$L$5:$N$13,2,FALSE),0))</x:f>
      </x:c>
      <x:c r="Y83" s="80" t="str">
        <x:f>IF(OR($C83="",$W83=""),"",ROUND($W83*$X83,0))</x:f>
      </x:c>
      <x:c r="Z83" s="57" t="str">
        <x:f>IF($A83="","",COUNTIF('Activity Log'!$C$6:$C$1005,$A83))</x:f>
      </x:c>
      <x:c r="AA83" s="68"/>
      <x:c r="AB83" s="63"/>
    </x:row>
    <x:row r="84">
      <x:c r="A84" s="54"/>
      <x:c r="B84" s="68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  <x:c r="N84" s="54"/>
      <x:c r="O84" s="57" t="str">
        <x:f>IF($C84="","",MAX(0,MIN(100,IFERROR(VLOOKUP($L84,'Lists &amp; Rules'!$P$5:$Q$8,2,FALSE),0)+IFERROR(VLOOKUP($N84,'Lists &amp; Rules'!$S$5:$T$7,2,FALSE),0)+IFERROR(VLOOKUP($M84,'Lists &amp; Rules'!$L$5:$N$13,3,FALSE),0)+IF($R84="Overdue",-10,IF($R84="Today",5,0))+MIN(15,$Z84*3))))</x:f>
      </x:c>
      <x:c r="P84" s="71" t="str">
        <x:f>IF($A84="","",IF(COUNTIF('Activity Log'!$C$6:$C$1005,$A84)=0,"",MAXIFS('Activity Log'!$B$6:$B$1005,'Activity Log'!$C$6:$C$1005,$A84)))</x:f>
      </x:c>
      <x:c r="Q84" s="71" t="str">
        <x:f>IF($A84="","",IF(COUNTIFS('Activity Log'!$C$6:$C$1005,$A84,'Activity Log'!$J$6:$J$1005,"No",'Activity Log'!$I$6:$I$1005,"&gt;0")=0,"",MINIFS('Activity Log'!$I$6:$I$1005,'Activity Log'!$C$6:$C$1005,$A84,'Activity Log'!$J$6:$J$1005,"No",'Activity Log'!$I$6:$I$1005,"&gt;0")))</x:f>
      </x:c>
      <x:c r="R84" s="57" t="str">
        <x:f>IF($C84="","",IF(OR($K84="Won",$K84="Lost",$K84="Disqualified"),"Closed",IF($Q84="","No date",IF(INT($Q84)&lt;TODAY(),"Overdue",IF(INT($Q84)=TODAY(),"Today",IF(INT($Q84)&lt;=TODAY()+7,"Next 7 days","Later"))))))</x:f>
      </x:c>
      <x:c r="S84" s="57" t="str">
        <x:f>IF(OR($C84="",$P84=""),"",TODAY()-INT($P84))</x:f>
      </x:c>
      <x:c r="T84" s="54"/>
      <x:c r="U84" s="54"/>
      <x:c r="V84" s="63"/>
      <x:c r="W84" s="74"/>
      <x:c r="X84" s="77" t="str">
        <x:f>IF($C84="","",IFERROR(VLOOKUP($M84,'Lists &amp; Rules'!$L$5:$N$13,2,FALSE),0))</x:f>
      </x:c>
      <x:c r="Y84" s="80" t="str">
        <x:f>IF(OR($C84="",$W84=""),"",ROUND($W84*$X84,0))</x:f>
      </x:c>
      <x:c r="Z84" s="57" t="str">
        <x:f>IF($A84="","",COUNTIF('Activity Log'!$C$6:$C$1005,$A84))</x:f>
      </x:c>
      <x:c r="AA84" s="68"/>
      <x:c r="AB84" s="63"/>
    </x:row>
    <x:row r="85">
      <x:c r="A85" s="54"/>
      <x:c r="B85" s="68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  <x:c r="N85" s="54"/>
      <x:c r="O85" s="57" t="str">
        <x:f>IF($C85="","",MAX(0,MIN(100,IFERROR(VLOOKUP($L85,'Lists &amp; Rules'!$P$5:$Q$8,2,FALSE),0)+IFERROR(VLOOKUP($N85,'Lists &amp; Rules'!$S$5:$T$7,2,FALSE),0)+IFERROR(VLOOKUP($M85,'Lists &amp; Rules'!$L$5:$N$13,3,FALSE),0)+IF($R85="Overdue",-10,IF($R85="Today",5,0))+MIN(15,$Z85*3))))</x:f>
      </x:c>
      <x:c r="P85" s="71" t="str">
        <x:f>IF($A85="","",IF(COUNTIF('Activity Log'!$C$6:$C$1005,$A85)=0,"",MAXIFS('Activity Log'!$B$6:$B$1005,'Activity Log'!$C$6:$C$1005,$A85)))</x:f>
      </x:c>
      <x:c r="Q85" s="71" t="str">
        <x:f>IF($A85="","",IF(COUNTIFS('Activity Log'!$C$6:$C$1005,$A85,'Activity Log'!$J$6:$J$1005,"No",'Activity Log'!$I$6:$I$1005,"&gt;0")=0,"",MINIFS('Activity Log'!$I$6:$I$1005,'Activity Log'!$C$6:$C$1005,$A85,'Activity Log'!$J$6:$J$1005,"No",'Activity Log'!$I$6:$I$1005,"&gt;0")))</x:f>
      </x:c>
      <x:c r="R85" s="57" t="str">
        <x:f>IF($C85="","",IF(OR($K85="Won",$K85="Lost",$K85="Disqualified"),"Closed",IF($Q85="","No date",IF(INT($Q85)&lt;TODAY(),"Overdue",IF(INT($Q85)=TODAY(),"Today",IF(INT($Q85)&lt;=TODAY()+7,"Next 7 days","Later"))))))</x:f>
      </x:c>
      <x:c r="S85" s="57" t="str">
        <x:f>IF(OR($C85="",$P85=""),"",TODAY()-INT($P85))</x:f>
      </x:c>
      <x:c r="T85" s="54"/>
      <x:c r="U85" s="54"/>
      <x:c r="V85" s="63"/>
      <x:c r="W85" s="74"/>
      <x:c r="X85" s="77" t="str">
        <x:f>IF($C85="","",IFERROR(VLOOKUP($M85,'Lists &amp; Rules'!$L$5:$N$13,2,FALSE),0))</x:f>
      </x:c>
      <x:c r="Y85" s="80" t="str">
        <x:f>IF(OR($C85="",$W85=""),"",ROUND($W85*$X85,0))</x:f>
      </x:c>
      <x:c r="Z85" s="57" t="str">
        <x:f>IF($A85="","",COUNTIF('Activity Log'!$C$6:$C$1005,$A85))</x:f>
      </x:c>
      <x:c r="AA85" s="68"/>
      <x:c r="AB85" s="63"/>
    </x:row>
    <x:row r="86">
      <x:c r="A86" s="54"/>
      <x:c r="B86" s="68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  <x:c r="N86" s="54"/>
      <x:c r="O86" s="57" t="str">
        <x:f>IF($C86="","",MAX(0,MIN(100,IFERROR(VLOOKUP($L86,'Lists &amp; Rules'!$P$5:$Q$8,2,FALSE),0)+IFERROR(VLOOKUP($N86,'Lists &amp; Rules'!$S$5:$T$7,2,FALSE),0)+IFERROR(VLOOKUP($M86,'Lists &amp; Rules'!$L$5:$N$13,3,FALSE),0)+IF($R86="Overdue",-10,IF($R86="Today",5,0))+MIN(15,$Z86*3))))</x:f>
      </x:c>
      <x:c r="P86" s="71" t="str">
        <x:f>IF($A86="","",IF(COUNTIF('Activity Log'!$C$6:$C$1005,$A86)=0,"",MAXIFS('Activity Log'!$B$6:$B$1005,'Activity Log'!$C$6:$C$1005,$A86)))</x:f>
      </x:c>
      <x:c r="Q86" s="71" t="str">
        <x:f>IF($A86="","",IF(COUNTIFS('Activity Log'!$C$6:$C$1005,$A86,'Activity Log'!$J$6:$J$1005,"No",'Activity Log'!$I$6:$I$1005,"&gt;0")=0,"",MINIFS('Activity Log'!$I$6:$I$1005,'Activity Log'!$C$6:$C$1005,$A86,'Activity Log'!$J$6:$J$1005,"No",'Activity Log'!$I$6:$I$1005,"&gt;0")))</x:f>
      </x:c>
      <x:c r="R86" s="57" t="str">
        <x:f>IF($C86="","",IF(OR($K86="Won",$K86="Lost",$K86="Disqualified"),"Closed",IF($Q86="","No date",IF(INT($Q86)&lt;TODAY(),"Overdue",IF(INT($Q86)=TODAY(),"Today",IF(INT($Q86)&lt;=TODAY()+7,"Next 7 days","Later"))))))</x:f>
      </x:c>
      <x:c r="S86" s="57" t="str">
        <x:f>IF(OR($C86="",$P86=""),"",TODAY()-INT($P86))</x:f>
      </x:c>
      <x:c r="T86" s="54"/>
      <x:c r="U86" s="54"/>
      <x:c r="V86" s="63"/>
      <x:c r="W86" s="74"/>
      <x:c r="X86" s="77" t="str">
        <x:f>IF($C86="","",IFERROR(VLOOKUP($M86,'Lists &amp; Rules'!$L$5:$N$13,2,FALSE),0))</x:f>
      </x:c>
      <x:c r="Y86" s="80" t="str">
        <x:f>IF(OR($C86="",$W86=""),"",ROUND($W86*$X86,0))</x:f>
      </x:c>
      <x:c r="Z86" s="57" t="str">
        <x:f>IF($A86="","",COUNTIF('Activity Log'!$C$6:$C$1005,$A86))</x:f>
      </x:c>
      <x:c r="AA86" s="68"/>
      <x:c r="AB86" s="63"/>
    </x:row>
    <x:row r="87">
      <x:c r="A87" s="54"/>
      <x:c r="B87" s="68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  <x:c r="N87" s="54"/>
      <x:c r="O87" s="57" t="str">
        <x:f>IF($C87="","",MAX(0,MIN(100,IFERROR(VLOOKUP($L87,'Lists &amp; Rules'!$P$5:$Q$8,2,FALSE),0)+IFERROR(VLOOKUP($N87,'Lists &amp; Rules'!$S$5:$T$7,2,FALSE),0)+IFERROR(VLOOKUP($M87,'Lists &amp; Rules'!$L$5:$N$13,3,FALSE),0)+IF($R87="Overdue",-10,IF($R87="Today",5,0))+MIN(15,$Z87*3))))</x:f>
      </x:c>
      <x:c r="P87" s="71" t="str">
        <x:f>IF($A87="","",IF(COUNTIF('Activity Log'!$C$6:$C$1005,$A87)=0,"",MAXIFS('Activity Log'!$B$6:$B$1005,'Activity Log'!$C$6:$C$1005,$A87)))</x:f>
      </x:c>
      <x:c r="Q87" s="71" t="str">
        <x:f>IF($A87="","",IF(COUNTIFS('Activity Log'!$C$6:$C$1005,$A87,'Activity Log'!$J$6:$J$1005,"No",'Activity Log'!$I$6:$I$1005,"&gt;0")=0,"",MINIFS('Activity Log'!$I$6:$I$1005,'Activity Log'!$C$6:$C$1005,$A87,'Activity Log'!$J$6:$J$1005,"No",'Activity Log'!$I$6:$I$1005,"&gt;0")))</x:f>
      </x:c>
      <x:c r="R87" s="57" t="str">
        <x:f>IF($C87="","",IF(OR($K87="Won",$K87="Lost",$K87="Disqualified"),"Closed",IF($Q87="","No date",IF(INT($Q87)&lt;TODAY(),"Overdue",IF(INT($Q87)=TODAY(),"Today",IF(INT($Q87)&lt;=TODAY()+7,"Next 7 days","Later"))))))</x:f>
      </x:c>
      <x:c r="S87" s="57" t="str">
        <x:f>IF(OR($C87="",$P87=""),"",TODAY()-INT($P87))</x:f>
      </x:c>
      <x:c r="T87" s="54"/>
      <x:c r="U87" s="54"/>
      <x:c r="V87" s="63"/>
      <x:c r="W87" s="74"/>
      <x:c r="X87" s="77" t="str">
        <x:f>IF($C87="","",IFERROR(VLOOKUP($M87,'Lists &amp; Rules'!$L$5:$N$13,2,FALSE),0))</x:f>
      </x:c>
      <x:c r="Y87" s="80" t="str">
        <x:f>IF(OR($C87="",$W87=""),"",ROUND($W87*$X87,0))</x:f>
      </x:c>
      <x:c r="Z87" s="57" t="str">
        <x:f>IF($A87="","",COUNTIF('Activity Log'!$C$6:$C$1005,$A87))</x:f>
      </x:c>
      <x:c r="AA87" s="68"/>
      <x:c r="AB87" s="63"/>
    </x:row>
    <x:row r="88">
      <x:c r="A88" s="54"/>
      <x:c r="B88" s="68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  <x:c r="N88" s="54"/>
      <x:c r="O88" s="57" t="str">
        <x:f>IF($C88="","",MAX(0,MIN(100,IFERROR(VLOOKUP($L88,'Lists &amp; Rules'!$P$5:$Q$8,2,FALSE),0)+IFERROR(VLOOKUP($N88,'Lists &amp; Rules'!$S$5:$T$7,2,FALSE),0)+IFERROR(VLOOKUP($M88,'Lists &amp; Rules'!$L$5:$N$13,3,FALSE),0)+IF($R88="Overdue",-10,IF($R88="Today",5,0))+MIN(15,$Z88*3))))</x:f>
      </x:c>
      <x:c r="P88" s="71" t="str">
        <x:f>IF($A88="","",IF(COUNTIF('Activity Log'!$C$6:$C$1005,$A88)=0,"",MAXIFS('Activity Log'!$B$6:$B$1005,'Activity Log'!$C$6:$C$1005,$A88)))</x:f>
      </x:c>
      <x:c r="Q88" s="71" t="str">
        <x:f>IF($A88="","",IF(COUNTIFS('Activity Log'!$C$6:$C$1005,$A88,'Activity Log'!$J$6:$J$1005,"No",'Activity Log'!$I$6:$I$1005,"&gt;0")=0,"",MINIFS('Activity Log'!$I$6:$I$1005,'Activity Log'!$C$6:$C$1005,$A88,'Activity Log'!$J$6:$J$1005,"No",'Activity Log'!$I$6:$I$1005,"&gt;0")))</x:f>
      </x:c>
      <x:c r="R88" s="57" t="str">
        <x:f>IF($C88="","",IF(OR($K88="Won",$K88="Lost",$K88="Disqualified"),"Closed",IF($Q88="","No date",IF(INT($Q88)&lt;TODAY(),"Overdue",IF(INT($Q88)=TODAY(),"Today",IF(INT($Q88)&lt;=TODAY()+7,"Next 7 days","Later"))))))</x:f>
      </x:c>
      <x:c r="S88" s="57" t="str">
        <x:f>IF(OR($C88="",$P88=""),"",TODAY()-INT($P88))</x:f>
      </x:c>
      <x:c r="T88" s="54"/>
      <x:c r="U88" s="54"/>
      <x:c r="V88" s="63"/>
      <x:c r="W88" s="74"/>
      <x:c r="X88" s="77" t="str">
        <x:f>IF($C88="","",IFERROR(VLOOKUP($M88,'Lists &amp; Rules'!$L$5:$N$13,2,FALSE),0))</x:f>
      </x:c>
      <x:c r="Y88" s="80" t="str">
        <x:f>IF(OR($C88="",$W88=""),"",ROUND($W88*$X88,0))</x:f>
      </x:c>
      <x:c r="Z88" s="57" t="str">
        <x:f>IF($A88="","",COUNTIF('Activity Log'!$C$6:$C$1005,$A88))</x:f>
      </x:c>
      <x:c r="AA88" s="68"/>
      <x:c r="AB88" s="63"/>
    </x:row>
    <x:row r="89">
      <x:c r="A89" s="54"/>
      <x:c r="B89" s="68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  <x:c r="N89" s="54"/>
      <x:c r="O89" s="57" t="str">
        <x:f>IF($C89="","",MAX(0,MIN(100,IFERROR(VLOOKUP($L89,'Lists &amp; Rules'!$P$5:$Q$8,2,FALSE),0)+IFERROR(VLOOKUP($N89,'Lists &amp; Rules'!$S$5:$T$7,2,FALSE),0)+IFERROR(VLOOKUP($M89,'Lists &amp; Rules'!$L$5:$N$13,3,FALSE),0)+IF($R89="Overdue",-10,IF($R89="Today",5,0))+MIN(15,$Z89*3))))</x:f>
      </x:c>
      <x:c r="P89" s="71" t="str">
        <x:f>IF($A89="","",IF(COUNTIF('Activity Log'!$C$6:$C$1005,$A89)=0,"",MAXIFS('Activity Log'!$B$6:$B$1005,'Activity Log'!$C$6:$C$1005,$A89)))</x:f>
      </x:c>
      <x:c r="Q89" s="71" t="str">
        <x:f>IF($A89="","",IF(COUNTIFS('Activity Log'!$C$6:$C$1005,$A89,'Activity Log'!$J$6:$J$1005,"No",'Activity Log'!$I$6:$I$1005,"&gt;0")=0,"",MINIFS('Activity Log'!$I$6:$I$1005,'Activity Log'!$C$6:$C$1005,$A89,'Activity Log'!$J$6:$J$1005,"No",'Activity Log'!$I$6:$I$1005,"&gt;0")))</x:f>
      </x:c>
      <x:c r="R89" s="57" t="str">
        <x:f>IF($C89="","",IF(OR($K89="Won",$K89="Lost",$K89="Disqualified"),"Closed",IF($Q89="","No date",IF(INT($Q89)&lt;TODAY(),"Overdue",IF(INT($Q89)=TODAY(),"Today",IF(INT($Q89)&lt;=TODAY()+7,"Next 7 days","Later"))))))</x:f>
      </x:c>
      <x:c r="S89" s="57" t="str">
        <x:f>IF(OR($C89="",$P89=""),"",TODAY()-INT($P89))</x:f>
      </x:c>
      <x:c r="T89" s="54"/>
      <x:c r="U89" s="54"/>
      <x:c r="V89" s="63"/>
      <x:c r="W89" s="74"/>
      <x:c r="X89" s="77" t="str">
        <x:f>IF($C89="","",IFERROR(VLOOKUP($M89,'Lists &amp; Rules'!$L$5:$N$13,2,FALSE),0))</x:f>
      </x:c>
      <x:c r="Y89" s="80" t="str">
        <x:f>IF(OR($C89="",$W89=""),"",ROUND($W89*$X89,0))</x:f>
      </x:c>
      <x:c r="Z89" s="57" t="str">
        <x:f>IF($A89="","",COUNTIF('Activity Log'!$C$6:$C$1005,$A89))</x:f>
      </x:c>
      <x:c r="AA89" s="68"/>
      <x:c r="AB89" s="63"/>
    </x:row>
    <x:row r="90">
      <x:c r="A90" s="54"/>
      <x:c r="B90" s="68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  <x:c r="N90" s="54"/>
      <x:c r="O90" s="57" t="str">
        <x:f>IF($C90="","",MAX(0,MIN(100,IFERROR(VLOOKUP($L90,'Lists &amp; Rules'!$P$5:$Q$8,2,FALSE),0)+IFERROR(VLOOKUP($N90,'Lists &amp; Rules'!$S$5:$T$7,2,FALSE),0)+IFERROR(VLOOKUP($M90,'Lists &amp; Rules'!$L$5:$N$13,3,FALSE),0)+IF($R90="Overdue",-10,IF($R90="Today",5,0))+MIN(15,$Z90*3))))</x:f>
      </x:c>
      <x:c r="P90" s="71" t="str">
        <x:f>IF($A90="","",IF(COUNTIF('Activity Log'!$C$6:$C$1005,$A90)=0,"",MAXIFS('Activity Log'!$B$6:$B$1005,'Activity Log'!$C$6:$C$1005,$A90)))</x:f>
      </x:c>
      <x:c r="Q90" s="71" t="str">
        <x:f>IF($A90="","",IF(COUNTIFS('Activity Log'!$C$6:$C$1005,$A90,'Activity Log'!$J$6:$J$1005,"No",'Activity Log'!$I$6:$I$1005,"&gt;0")=0,"",MINIFS('Activity Log'!$I$6:$I$1005,'Activity Log'!$C$6:$C$1005,$A90,'Activity Log'!$J$6:$J$1005,"No",'Activity Log'!$I$6:$I$1005,"&gt;0")))</x:f>
      </x:c>
      <x:c r="R90" s="57" t="str">
        <x:f>IF($C90="","",IF(OR($K90="Won",$K90="Lost",$K90="Disqualified"),"Closed",IF($Q90="","No date",IF(INT($Q90)&lt;TODAY(),"Overdue",IF(INT($Q90)=TODAY(),"Today",IF(INT($Q90)&lt;=TODAY()+7,"Next 7 days","Later"))))))</x:f>
      </x:c>
      <x:c r="S90" s="57" t="str">
        <x:f>IF(OR($C90="",$P90=""),"",TODAY()-INT($P90))</x:f>
      </x:c>
      <x:c r="T90" s="54"/>
      <x:c r="U90" s="54"/>
      <x:c r="V90" s="63"/>
      <x:c r="W90" s="74"/>
      <x:c r="X90" s="77" t="str">
        <x:f>IF($C90="","",IFERROR(VLOOKUP($M90,'Lists &amp; Rules'!$L$5:$N$13,2,FALSE),0))</x:f>
      </x:c>
      <x:c r="Y90" s="80" t="str">
        <x:f>IF(OR($C90="",$W90=""),"",ROUND($W90*$X90,0))</x:f>
      </x:c>
      <x:c r="Z90" s="57" t="str">
        <x:f>IF($A90="","",COUNTIF('Activity Log'!$C$6:$C$1005,$A90))</x:f>
      </x:c>
      <x:c r="AA90" s="68"/>
      <x:c r="AB90" s="63"/>
    </x:row>
    <x:row r="91">
      <x:c r="A91" s="54"/>
      <x:c r="B91" s="68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  <x:c r="N91" s="54"/>
      <x:c r="O91" s="57" t="str">
        <x:f>IF($C91="","",MAX(0,MIN(100,IFERROR(VLOOKUP($L91,'Lists &amp; Rules'!$P$5:$Q$8,2,FALSE),0)+IFERROR(VLOOKUP($N91,'Lists &amp; Rules'!$S$5:$T$7,2,FALSE),0)+IFERROR(VLOOKUP($M91,'Lists &amp; Rules'!$L$5:$N$13,3,FALSE),0)+IF($R91="Overdue",-10,IF($R91="Today",5,0))+MIN(15,$Z91*3))))</x:f>
      </x:c>
      <x:c r="P91" s="71" t="str">
        <x:f>IF($A91="","",IF(COUNTIF('Activity Log'!$C$6:$C$1005,$A91)=0,"",MAXIFS('Activity Log'!$B$6:$B$1005,'Activity Log'!$C$6:$C$1005,$A91)))</x:f>
      </x:c>
      <x:c r="Q91" s="71" t="str">
        <x:f>IF($A91="","",IF(COUNTIFS('Activity Log'!$C$6:$C$1005,$A91,'Activity Log'!$J$6:$J$1005,"No",'Activity Log'!$I$6:$I$1005,"&gt;0")=0,"",MINIFS('Activity Log'!$I$6:$I$1005,'Activity Log'!$C$6:$C$1005,$A91,'Activity Log'!$J$6:$J$1005,"No",'Activity Log'!$I$6:$I$1005,"&gt;0")))</x:f>
      </x:c>
      <x:c r="R91" s="57" t="str">
        <x:f>IF($C91="","",IF(OR($K91="Won",$K91="Lost",$K91="Disqualified"),"Closed",IF($Q91="","No date",IF(INT($Q91)&lt;TODAY(),"Overdue",IF(INT($Q91)=TODAY(),"Today",IF(INT($Q91)&lt;=TODAY()+7,"Next 7 days","Later"))))))</x:f>
      </x:c>
      <x:c r="S91" s="57" t="str">
        <x:f>IF(OR($C91="",$P91=""),"",TODAY()-INT($P91))</x:f>
      </x:c>
      <x:c r="T91" s="54"/>
      <x:c r="U91" s="54"/>
      <x:c r="V91" s="63"/>
      <x:c r="W91" s="74"/>
      <x:c r="X91" s="77" t="str">
        <x:f>IF($C91="","",IFERROR(VLOOKUP($M91,'Lists &amp; Rules'!$L$5:$N$13,2,FALSE),0))</x:f>
      </x:c>
      <x:c r="Y91" s="80" t="str">
        <x:f>IF(OR($C91="",$W91=""),"",ROUND($W91*$X91,0))</x:f>
      </x:c>
      <x:c r="Z91" s="57" t="str">
        <x:f>IF($A91="","",COUNTIF('Activity Log'!$C$6:$C$1005,$A91))</x:f>
      </x:c>
      <x:c r="AA91" s="68"/>
      <x:c r="AB91" s="63"/>
    </x:row>
    <x:row r="92">
      <x:c r="A92" s="54"/>
      <x:c r="B92" s="68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  <x:c r="N92" s="54"/>
      <x:c r="O92" s="57" t="str">
        <x:f>IF($C92="","",MAX(0,MIN(100,IFERROR(VLOOKUP($L92,'Lists &amp; Rules'!$P$5:$Q$8,2,FALSE),0)+IFERROR(VLOOKUP($N92,'Lists &amp; Rules'!$S$5:$T$7,2,FALSE),0)+IFERROR(VLOOKUP($M92,'Lists &amp; Rules'!$L$5:$N$13,3,FALSE),0)+IF($R92="Overdue",-10,IF($R92="Today",5,0))+MIN(15,$Z92*3))))</x:f>
      </x:c>
      <x:c r="P92" s="71" t="str">
        <x:f>IF($A92="","",IF(COUNTIF('Activity Log'!$C$6:$C$1005,$A92)=0,"",MAXIFS('Activity Log'!$B$6:$B$1005,'Activity Log'!$C$6:$C$1005,$A92)))</x:f>
      </x:c>
      <x:c r="Q92" s="71" t="str">
        <x:f>IF($A92="","",IF(COUNTIFS('Activity Log'!$C$6:$C$1005,$A92,'Activity Log'!$J$6:$J$1005,"No",'Activity Log'!$I$6:$I$1005,"&gt;0")=0,"",MINIFS('Activity Log'!$I$6:$I$1005,'Activity Log'!$C$6:$C$1005,$A92,'Activity Log'!$J$6:$J$1005,"No",'Activity Log'!$I$6:$I$1005,"&gt;0")))</x:f>
      </x:c>
      <x:c r="R92" s="57" t="str">
        <x:f>IF($C92="","",IF(OR($K92="Won",$K92="Lost",$K92="Disqualified"),"Closed",IF($Q92="","No date",IF(INT($Q92)&lt;TODAY(),"Overdue",IF(INT($Q92)=TODAY(),"Today",IF(INT($Q92)&lt;=TODAY()+7,"Next 7 days","Later"))))))</x:f>
      </x:c>
      <x:c r="S92" s="57" t="str">
        <x:f>IF(OR($C92="",$P92=""),"",TODAY()-INT($P92))</x:f>
      </x:c>
      <x:c r="T92" s="54"/>
      <x:c r="U92" s="54"/>
      <x:c r="V92" s="63"/>
      <x:c r="W92" s="74"/>
      <x:c r="X92" s="77" t="str">
        <x:f>IF($C92="","",IFERROR(VLOOKUP($M92,'Lists &amp; Rules'!$L$5:$N$13,2,FALSE),0))</x:f>
      </x:c>
      <x:c r="Y92" s="80" t="str">
        <x:f>IF(OR($C92="",$W92=""),"",ROUND($W92*$X92,0))</x:f>
      </x:c>
      <x:c r="Z92" s="57" t="str">
        <x:f>IF($A92="","",COUNTIF('Activity Log'!$C$6:$C$1005,$A92))</x:f>
      </x:c>
      <x:c r="AA92" s="68"/>
      <x:c r="AB92" s="63"/>
    </x:row>
    <x:row r="93">
      <x:c r="A93" s="54"/>
      <x:c r="B93" s="68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  <x:c r="N93" s="54"/>
      <x:c r="O93" s="57" t="str">
        <x:f>IF($C93="","",MAX(0,MIN(100,IFERROR(VLOOKUP($L93,'Lists &amp; Rules'!$P$5:$Q$8,2,FALSE),0)+IFERROR(VLOOKUP($N93,'Lists &amp; Rules'!$S$5:$T$7,2,FALSE),0)+IFERROR(VLOOKUP($M93,'Lists &amp; Rules'!$L$5:$N$13,3,FALSE),0)+IF($R93="Overdue",-10,IF($R93="Today",5,0))+MIN(15,$Z93*3))))</x:f>
      </x:c>
      <x:c r="P93" s="71" t="str">
        <x:f>IF($A93="","",IF(COUNTIF('Activity Log'!$C$6:$C$1005,$A93)=0,"",MAXIFS('Activity Log'!$B$6:$B$1005,'Activity Log'!$C$6:$C$1005,$A93)))</x:f>
      </x:c>
      <x:c r="Q93" s="71" t="str">
        <x:f>IF($A93="","",IF(COUNTIFS('Activity Log'!$C$6:$C$1005,$A93,'Activity Log'!$J$6:$J$1005,"No",'Activity Log'!$I$6:$I$1005,"&gt;0")=0,"",MINIFS('Activity Log'!$I$6:$I$1005,'Activity Log'!$C$6:$C$1005,$A93,'Activity Log'!$J$6:$J$1005,"No",'Activity Log'!$I$6:$I$1005,"&gt;0")))</x:f>
      </x:c>
      <x:c r="R93" s="57" t="str">
        <x:f>IF($C93="","",IF(OR($K93="Won",$K93="Lost",$K93="Disqualified"),"Closed",IF($Q93="","No date",IF(INT($Q93)&lt;TODAY(),"Overdue",IF(INT($Q93)=TODAY(),"Today",IF(INT($Q93)&lt;=TODAY()+7,"Next 7 days","Later"))))))</x:f>
      </x:c>
      <x:c r="S93" s="57" t="str">
        <x:f>IF(OR($C93="",$P93=""),"",TODAY()-INT($P93))</x:f>
      </x:c>
      <x:c r="T93" s="54"/>
      <x:c r="U93" s="54"/>
      <x:c r="V93" s="63"/>
      <x:c r="W93" s="74"/>
      <x:c r="X93" s="77" t="str">
        <x:f>IF($C93="","",IFERROR(VLOOKUP($M93,'Lists &amp; Rules'!$L$5:$N$13,2,FALSE),0))</x:f>
      </x:c>
      <x:c r="Y93" s="80" t="str">
        <x:f>IF(OR($C93="",$W93=""),"",ROUND($W93*$X93,0))</x:f>
      </x:c>
      <x:c r="Z93" s="57" t="str">
        <x:f>IF($A93="","",COUNTIF('Activity Log'!$C$6:$C$1005,$A93))</x:f>
      </x:c>
      <x:c r="AA93" s="68"/>
      <x:c r="AB93" s="63"/>
    </x:row>
    <x:row r="94">
      <x:c r="A94" s="54"/>
      <x:c r="B94" s="68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  <x:c r="N94" s="54"/>
      <x:c r="O94" s="57" t="str">
        <x:f>IF($C94="","",MAX(0,MIN(100,IFERROR(VLOOKUP($L94,'Lists &amp; Rules'!$P$5:$Q$8,2,FALSE),0)+IFERROR(VLOOKUP($N94,'Lists &amp; Rules'!$S$5:$T$7,2,FALSE),0)+IFERROR(VLOOKUP($M94,'Lists &amp; Rules'!$L$5:$N$13,3,FALSE),0)+IF($R94="Overdue",-10,IF($R94="Today",5,0))+MIN(15,$Z94*3))))</x:f>
      </x:c>
      <x:c r="P94" s="71" t="str">
        <x:f>IF($A94="","",IF(COUNTIF('Activity Log'!$C$6:$C$1005,$A94)=0,"",MAXIFS('Activity Log'!$B$6:$B$1005,'Activity Log'!$C$6:$C$1005,$A94)))</x:f>
      </x:c>
      <x:c r="Q94" s="71" t="str">
        <x:f>IF($A94="","",IF(COUNTIFS('Activity Log'!$C$6:$C$1005,$A94,'Activity Log'!$J$6:$J$1005,"No",'Activity Log'!$I$6:$I$1005,"&gt;0")=0,"",MINIFS('Activity Log'!$I$6:$I$1005,'Activity Log'!$C$6:$C$1005,$A94,'Activity Log'!$J$6:$J$1005,"No",'Activity Log'!$I$6:$I$1005,"&gt;0")))</x:f>
      </x:c>
      <x:c r="R94" s="57" t="str">
        <x:f>IF($C94="","",IF(OR($K94="Won",$K94="Lost",$K94="Disqualified"),"Closed",IF($Q94="","No date",IF(INT($Q94)&lt;TODAY(),"Overdue",IF(INT($Q94)=TODAY(),"Today",IF(INT($Q94)&lt;=TODAY()+7,"Next 7 days","Later"))))))</x:f>
      </x:c>
      <x:c r="S94" s="57" t="str">
        <x:f>IF(OR($C94="",$P94=""),"",TODAY()-INT($P94))</x:f>
      </x:c>
      <x:c r="T94" s="54"/>
      <x:c r="U94" s="54"/>
      <x:c r="V94" s="63"/>
      <x:c r="W94" s="74"/>
      <x:c r="X94" s="77" t="str">
        <x:f>IF($C94="","",IFERROR(VLOOKUP($M94,'Lists &amp; Rules'!$L$5:$N$13,2,FALSE),0))</x:f>
      </x:c>
      <x:c r="Y94" s="80" t="str">
        <x:f>IF(OR($C94="",$W94=""),"",ROUND($W94*$X94,0))</x:f>
      </x:c>
      <x:c r="Z94" s="57" t="str">
        <x:f>IF($A94="","",COUNTIF('Activity Log'!$C$6:$C$1005,$A94))</x:f>
      </x:c>
      <x:c r="AA94" s="68"/>
      <x:c r="AB94" s="63"/>
    </x:row>
    <x:row r="95">
      <x:c r="A95" s="54"/>
      <x:c r="B95" s="68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  <x:c r="N95" s="54"/>
      <x:c r="O95" s="57" t="str">
        <x:f>IF($C95="","",MAX(0,MIN(100,IFERROR(VLOOKUP($L95,'Lists &amp; Rules'!$P$5:$Q$8,2,FALSE),0)+IFERROR(VLOOKUP($N95,'Lists &amp; Rules'!$S$5:$T$7,2,FALSE),0)+IFERROR(VLOOKUP($M95,'Lists &amp; Rules'!$L$5:$N$13,3,FALSE),0)+IF($R95="Overdue",-10,IF($R95="Today",5,0))+MIN(15,$Z95*3))))</x:f>
      </x:c>
      <x:c r="P95" s="71" t="str">
        <x:f>IF($A95="","",IF(COUNTIF('Activity Log'!$C$6:$C$1005,$A95)=0,"",MAXIFS('Activity Log'!$B$6:$B$1005,'Activity Log'!$C$6:$C$1005,$A95)))</x:f>
      </x:c>
      <x:c r="Q95" s="71" t="str">
        <x:f>IF($A95="","",IF(COUNTIFS('Activity Log'!$C$6:$C$1005,$A95,'Activity Log'!$J$6:$J$1005,"No",'Activity Log'!$I$6:$I$1005,"&gt;0")=0,"",MINIFS('Activity Log'!$I$6:$I$1005,'Activity Log'!$C$6:$C$1005,$A95,'Activity Log'!$J$6:$J$1005,"No",'Activity Log'!$I$6:$I$1005,"&gt;0")))</x:f>
      </x:c>
      <x:c r="R95" s="57" t="str">
        <x:f>IF($C95="","",IF(OR($K95="Won",$K95="Lost",$K95="Disqualified"),"Closed",IF($Q95="","No date",IF(INT($Q95)&lt;TODAY(),"Overdue",IF(INT($Q95)=TODAY(),"Today",IF(INT($Q95)&lt;=TODAY()+7,"Next 7 days","Later"))))))</x:f>
      </x:c>
      <x:c r="S95" s="57" t="str">
        <x:f>IF(OR($C95="",$P95=""),"",TODAY()-INT($P95))</x:f>
      </x:c>
      <x:c r="T95" s="54"/>
      <x:c r="U95" s="54"/>
      <x:c r="V95" s="63"/>
      <x:c r="W95" s="74"/>
      <x:c r="X95" s="77" t="str">
        <x:f>IF($C95="","",IFERROR(VLOOKUP($M95,'Lists &amp; Rules'!$L$5:$N$13,2,FALSE),0))</x:f>
      </x:c>
      <x:c r="Y95" s="80" t="str">
        <x:f>IF(OR($C95="",$W95=""),"",ROUND($W95*$X95,0))</x:f>
      </x:c>
      <x:c r="Z95" s="57" t="str">
        <x:f>IF($A95="","",COUNTIF('Activity Log'!$C$6:$C$1005,$A95))</x:f>
      </x:c>
      <x:c r="AA95" s="68"/>
      <x:c r="AB95" s="63"/>
    </x:row>
    <x:row r="96">
      <x:c r="A96" s="54"/>
      <x:c r="B96" s="68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  <x:c r="N96" s="54"/>
      <x:c r="O96" s="57" t="str">
        <x:f>IF($C96="","",MAX(0,MIN(100,IFERROR(VLOOKUP($L96,'Lists &amp; Rules'!$P$5:$Q$8,2,FALSE),0)+IFERROR(VLOOKUP($N96,'Lists &amp; Rules'!$S$5:$T$7,2,FALSE),0)+IFERROR(VLOOKUP($M96,'Lists &amp; Rules'!$L$5:$N$13,3,FALSE),0)+IF($R96="Overdue",-10,IF($R96="Today",5,0))+MIN(15,$Z96*3))))</x:f>
      </x:c>
      <x:c r="P96" s="71" t="str">
        <x:f>IF($A96="","",IF(COUNTIF('Activity Log'!$C$6:$C$1005,$A96)=0,"",MAXIFS('Activity Log'!$B$6:$B$1005,'Activity Log'!$C$6:$C$1005,$A96)))</x:f>
      </x:c>
      <x:c r="Q96" s="71" t="str">
        <x:f>IF($A96="","",IF(COUNTIFS('Activity Log'!$C$6:$C$1005,$A96,'Activity Log'!$J$6:$J$1005,"No",'Activity Log'!$I$6:$I$1005,"&gt;0")=0,"",MINIFS('Activity Log'!$I$6:$I$1005,'Activity Log'!$C$6:$C$1005,$A96,'Activity Log'!$J$6:$J$1005,"No",'Activity Log'!$I$6:$I$1005,"&gt;0")))</x:f>
      </x:c>
      <x:c r="R96" s="57" t="str">
        <x:f>IF($C96="","",IF(OR($K96="Won",$K96="Lost",$K96="Disqualified"),"Closed",IF($Q96="","No date",IF(INT($Q96)&lt;TODAY(),"Overdue",IF(INT($Q96)=TODAY(),"Today",IF(INT($Q96)&lt;=TODAY()+7,"Next 7 days","Later"))))))</x:f>
      </x:c>
      <x:c r="S96" s="57" t="str">
        <x:f>IF(OR($C96="",$P96=""),"",TODAY()-INT($P96))</x:f>
      </x:c>
      <x:c r="T96" s="54"/>
      <x:c r="U96" s="54"/>
      <x:c r="V96" s="63"/>
      <x:c r="W96" s="74"/>
      <x:c r="X96" s="77" t="str">
        <x:f>IF($C96="","",IFERROR(VLOOKUP($M96,'Lists &amp; Rules'!$L$5:$N$13,2,FALSE),0))</x:f>
      </x:c>
      <x:c r="Y96" s="80" t="str">
        <x:f>IF(OR($C96="",$W96=""),"",ROUND($W96*$X96,0))</x:f>
      </x:c>
      <x:c r="Z96" s="57" t="str">
        <x:f>IF($A96="","",COUNTIF('Activity Log'!$C$6:$C$1005,$A96))</x:f>
      </x:c>
      <x:c r="AA96" s="68"/>
      <x:c r="AB96" s="63"/>
    </x:row>
    <x:row r="97">
      <x:c r="A97" s="54"/>
      <x:c r="B97" s="68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  <x:c r="N97" s="54"/>
      <x:c r="O97" s="57" t="str">
        <x:f>IF($C97="","",MAX(0,MIN(100,IFERROR(VLOOKUP($L97,'Lists &amp; Rules'!$P$5:$Q$8,2,FALSE),0)+IFERROR(VLOOKUP($N97,'Lists &amp; Rules'!$S$5:$T$7,2,FALSE),0)+IFERROR(VLOOKUP($M97,'Lists &amp; Rules'!$L$5:$N$13,3,FALSE),0)+IF($R97="Overdue",-10,IF($R97="Today",5,0))+MIN(15,$Z97*3))))</x:f>
      </x:c>
      <x:c r="P97" s="71" t="str">
        <x:f>IF($A97="","",IF(COUNTIF('Activity Log'!$C$6:$C$1005,$A97)=0,"",MAXIFS('Activity Log'!$B$6:$B$1005,'Activity Log'!$C$6:$C$1005,$A97)))</x:f>
      </x:c>
      <x:c r="Q97" s="71" t="str">
        <x:f>IF($A97="","",IF(COUNTIFS('Activity Log'!$C$6:$C$1005,$A97,'Activity Log'!$J$6:$J$1005,"No",'Activity Log'!$I$6:$I$1005,"&gt;0")=0,"",MINIFS('Activity Log'!$I$6:$I$1005,'Activity Log'!$C$6:$C$1005,$A97,'Activity Log'!$J$6:$J$1005,"No",'Activity Log'!$I$6:$I$1005,"&gt;0")))</x:f>
      </x:c>
      <x:c r="R97" s="57" t="str">
        <x:f>IF($C97="","",IF(OR($K97="Won",$K97="Lost",$K97="Disqualified"),"Closed",IF($Q97="","No date",IF(INT($Q97)&lt;TODAY(),"Overdue",IF(INT($Q97)=TODAY(),"Today",IF(INT($Q97)&lt;=TODAY()+7,"Next 7 days","Later"))))))</x:f>
      </x:c>
      <x:c r="S97" s="57" t="str">
        <x:f>IF(OR($C97="",$P97=""),"",TODAY()-INT($P97))</x:f>
      </x:c>
      <x:c r="T97" s="54"/>
      <x:c r="U97" s="54"/>
      <x:c r="V97" s="63"/>
      <x:c r="W97" s="74"/>
      <x:c r="X97" s="77" t="str">
        <x:f>IF($C97="","",IFERROR(VLOOKUP($M97,'Lists &amp; Rules'!$L$5:$N$13,2,FALSE),0))</x:f>
      </x:c>
      <x:c r="Y97" s="80" t="str">
        <x:f>IF(OR($C97="",$W97=""),"",ROUND($W97*$X97,0))</x:f>
      </x:c>
      <x:c r="Z97" s="57" t="str">
        <x:f>IF($A97="","",COUNTIF('Activity Log'!$C$6:$C$1005,$A97))</x:f>
      </x:c>
      <x:c r="AA97" s="68"/>
      <x:c r="AB97" s="63"/>
    </x:row>
    <x:row r="98">
      <x:c r="A98" s="54"/>
      <x:c r="B98" s="68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  <x:c r="N98" s="54"/>
      <x:c r="O98" s="57" t="str">
        <x:f>IF($C98="","",MAX(0,MIN(100,IFERROR(VLOOKUP($L98,'Lists &amp; Rules'!$P$5:$Q$8,2,FALSE),0)+IFERROR(VLOOKUP($N98,'Lists &amp; Rules'!$S$5:$T$7,2,FALSE),0)+IFERROR(VLOOKUP($M98,'Lists &amp; Rules'!$L$5:$N$13,3,FALSE),0)+IF($R98="Overdue",-10,IF($R98="Today",5,0))+MIN(15,$Z98*3))))</x:f>
      </x:c>
      <x:c r="P98" s="71" t="str">
        <x:f>IF($A98="","",IF(COUNTIF('Activity Log'!$C$6:$C$1005,$A98)=0,"",MAXIFS('Activity Log'!$B$6:$B$1005,'Activity Log'!$C$6:$C$1005,$A98)))</x:f>
      </x:c>
      <x:c r="Q98" s="71" t="str">
        <x:f>IF($A98="","",IF(COUNTIFS('Activity Log'!$C$6:$C$1005,$A98,'Activity Log'!$J$6:$J$1005,"No",'Activity Log'!$I$6:$I$1005,"&gt;0")=0,"",MINIFS('Activity Log'!$I$6:$I$1005,'Activity Log'!$C$6:$C$1005,$A98,'Activity Log'!$J$6:$J$1005,"No",'Activity Log'!$I$6:$I$1005,"&gt;0")))</x:f>
      </x:c>
      <x:c r="R98" s="57" t="str">
        <x:f>IF($C98="","",IF(OR($K98="Won",$K98="Lost",$K98="Disqualified"),"Closed",IF($Q98="","No date",IF(INT($Q98)&lt;TODAY(),"Overdue",IF(INT($Q98)=TODAY(),"Today",IF(INT($Q98)&lt;=TODAY()+7,"Next 7 days","Later"))))))</x:f>
      </x:c>
      <x:c r="S98" s="57" t="str">
        <x:f>IF(OR($C98="",$P98=""),"",TODAY()-INT($P98))</x:f>
      </x:c>
      <x:c r="T98" s="54"/>
      <x:c r="U98" s="54"/>
      <x:c r="V98" s="63"/>
      <x:c r="W98" s="74"/>
      <x:c r="X98" s="77" t="str">
        <x:f>IF($C98="","",IFERROR(VLOOKUP($M98,'Lists &amp; Rules'!$L$5:$N$13,2,FALSE),0))</x:f>
      </x:c>
      <x:c r="Y98" s="80" t="str">
        <x:f>IF(OR($C98="",$W98=""),"",ROUND($W98*$X98,0))</x:f>
      </x:c>
      <x:c r="Z98" s="57" t="str">
        <x:f>IF($A98="","",COUNTIF('Activity Log'!$C$6:$C$1005,$A98))</x:f>
      </x:c>
      <x:c r="AA98" s="68"/>
      <x:c r="AB98" s="63"/>
    </x:row>
    <x:row r="99">
      <x:c r="A99" s="54"/>
      <x:c r="B99" s="68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  <x:c r="N99" s="54"/>
      <x:c r="O99" s="57" t="str">
        <x:f>IF($C99="","",MAX(0,MIN(100,IFERROR(VLOOKUP($L99,'Lists &amp; Rules'!$P$5:$Q$8,2,FALSE),0)+IFERROR(VLOOKUP($N99,'Lists &amp; Rules'!$S$5:$T$7,2,FALSE),0)+IFERROR(VLOOKUP($M99,'Lists &amp; Rules'!$L$5:$N$13,3,FALSE),0)+IF($R99="Overdue",-10,IF($R99="Today",5,0))+MIN(15,$Z99*3))))</x:f>
      </x:c>
      <x:c r="P99" s="71" t="str">
        <x:f>IF($A99="","",IF(COUNTIF('Activity Log'!$C$6:$C$1005,$A99)=0,"",MAXIFS('Activity Log'!$B$6:$B$1005,'Activity Log'!$C$6:$C$1005,$A99)))</x:f>
      </x:c>
      <x:c r="Q99" s="71" t="str">
        <x:f>IF($A99="","",IF(COUNTIFS('Activity Log'!$C$6:$C$1005,$A99,'Activity Log'!$J$6:$J$1005,"No",'Activity Log'!$I$6:$I$1005,"&gt;0")=0,"",MINIFS('Activity Log'!$I$6:$I$1005,'Activity Log'!$C$6:$C$1005,$A99,'Activity Log'!$J$6:$J$1005,"No",'Activity Log'!$I$6:$I$1005,"&gt;0")))</x:f>
      </x:c>
      <x:c r="R99" s="57" t="str">
        <x:f>IF($C99="","",IF(OR($K99="Won",$K99="Lost",$K99="Disqualified"),"Closed",IF($Q99="","No date",IF(INT($Q99)&lt;TODAY(),"Overdue",IF(INT($Q99)=TODAY(),"Today",IF(INT($Q99)&lt;=TODAY()+7,"Next 7 days","Later"))))))</x:f>
      </x:c>
      <x:c r="S99" s="57" t="str">
        <x:f>IF(OR($C99="",$P99=""),"",TODAY()-INT($P99))</x:f>
      </x:c>
      <x:c r="T99" s="54"/>
      <x:c r="U99" s="54"/>
      <x:c r="V99" s="63"/>
      <x:c r="W99" s="74"/>
      <x:c r="X99" s="77" t="str">
        <x:f>IF($C99="","",IFERROR(VLOOKUP($M99,'Lists &amp; Rules'!$L$5:$N$13,2,FALSE),0))</x:f>
      </x:c>
      <x:c r="Y99" s="80" t="str">
        <x:f>IF(OR($C99="",$W99=""),"",ROUND($W99*$X99,0))</x:f>
      </x:c>
      <x:c r="Z99" s="57" t="str">
        <x:f>IF($A99="","",COUNTIF('Activity Log'!$C$6:$C$1005,$A99))</x:f>
      </x:c>
      <x:c r="AA99" s="68"/>
      <x:c r="AB99" s="63"/>
    </x:row>
    <x:row r="100">
      <x:c r="A100" s="54"/>
      <x:c r="B100" s="68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  <x:c r="N100" s="54"/>
      <x:c r="O100" s="57" t="str">
        <x:f>IF($C100="","",MAX(0,MIN(100,IFERROR(VLOOKUP($L100,'Lists &amp; Rules'!$P$5:$Q$8,2,FALSE),0)+IFERROR(VLOOKUP($N100,'Lists &amp; Rules'!$S$5:$T$7,2,FALSE),0)+IFERROR(VLOOKUP($M100,'Lists &amp; Rules'!$L$5:$N$13,3,FALSE),0)+IF($R100="Overdue",-10,IF($R100="Today",5,0))+MIN(15,$Z100*3))))</x:f>
      </x:c>
      <x:c r="P100" s="71" t="str">
        <x:f>IF($A100="","",IF(COUNTIF('Activity Log'!$C$6:$C$1005,$A100)=0,"",MAXIFS('Activity Log'!$B$6:$B$1005,'Activity Log'!$C$6:$C$1005,$A100)))</x:f>
      </x:c>
      <x:c r="Q100" s="71" t="str">
        <x:f>IF($A100="","",IF(COUNTIFS('Activity Log'!$C$6:$C$1005,$A100,'Activity Log'!$J$6:$J$1005,"No",'Activity Log'!$I$6:$I$1005,"&gt;0")=0,"",MINIFS('Activity Log'!$I$6:$I$1005,'Activity Log'!$C$6:$C$1005,$A100,'Activity Log'!$J$6:$J$1005,"No",'Activity Log'!$I$6:$I$1005,"&gt;0")))</x:f>
      </x:c>
      <x:c r="R100" s="57" t="str">
        <x:f>IF($C100="","",IF(OR($K100="Won",$K100="Lost",$K100="Disqualified"),"Closed",IF($Q100="","No date",IF(INT($Q100)&lt;TODAY(),"Overdue",IF(INT($Q100)=TODAY(),"Today",IF(INT($Q100)&lt;=TODAY()+7,"Next 7 days","Later"))))))</x:f>
      </x:c>
      <x:c r="S100" s="57" t="str">
        <x:f>IF(OR($C100="",$P100=""),"",TODAY()-INT($P100))</x:f>
      </x:c>
      <x:c r="T100" s="54"/>
      <x:c r="U100" s="54"/>
      <x:c r="V100" s="63"/>
      <x:c r="W100" s="74"/>
      <x:c r="X100" s="77" t="str">
        <x:f>IF($C100="","",IFERROR(VLOOKUP($M100,'Lists &amp; Rules'!$L$5:$N$13,2,FALSE),0))</x:f>
      </x:c>
      <x:c r="Y100" s="80" t="str">
        <x:f>IF(OR($C100="",$W100=""),"",ROUND($W100*$X100,0))</x:f>
      </x:c>
      <x:c r="Z100" s="57" t="str">
        <x:f>IF($A100="","",COUNTIF('Activity Log'!$C$6:$C$1005,$A100))</x:f>
      </x:c>
      <x:c r="AA100" s="68"/>
      <x:c r="AB100" s="63"/>
    </x:row>
    <x:row r="101">
      <x:c r="A101" s="54"/>
      <x:c r="B101" s="68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  <x:c r="N101" s="54"/>
      <x:c r="O101" s="57" t="str">
        <x:f>IF($C101="","",MAX(0,MIN(100,IFERROR(VLOOKUP($L101,'Lists &amp; Rules'!$P$5:$Q$8,2,FALSE),0)+IFERROR(VLOOKUP($N101,'Lists &amp; Rules'!$S$5:$T$7,2,FALSE),0)+IFERROR(VLOOKUP($M101,'Lists &amp; Rules'!$L$5:$N$13,3,FALSE),0)+IF($R101="Overdue",-10,IF($R101="Today",5,0))+MIN(15,$Z101*3))))</x:f>
      </x:c>
      <x:c r="P101" s="71" t="str">
        <x:f>IF($A101="","",IF(COUNTIF('Activity Log'!$C$6:$C$1005,$A101)=0,"",MAXIFS('Activity Log'!$B$6:$B$1005,'Activity Log'!$C$6:$C$1005,$A101)))</x:f>
      </x:c>
      <x:c r="Q101" s="71" t="str">
        <x:f>IF($A101="","",IF(COUNTIFS('Activity Log'!$C$6:$C$1005,$A101,'Activity Log'!$J$6:$J$1005,"No",'Activity Log'!$I$6:$I$1005,"&gt;0")=0,"",MINIFS('Activity Log'!$I$6:$I$1005,'Activity Log'!$C$6:$C$1005,$A101,'Activity Log'!$J$6:$J$1005,"No",'Activity Log'!$I$6:$I$1005,"&gt;0")))</x:f>
      </x:c>
      <x:c r="R101" s="57" t="str">
        <x:f>IF($C101="","",IF(OR($K101="Won",$K101="Lost",$K101="Disqualified"),"Closed",IF($Q101="","No date",IF(INT($Q101)&lt;TODAY(),"Overdue",IF(INT($Q101)=TODAY(),"Today",IF(INT($Q101)&lt;=TODAY()+7,"Next 7 days","Later"))))))</x:f>
      </x:c>
      <x:c r="S101" s="57" t="str">
        <x:f>IF(OR($C101="",$P101=""),"",TODAY()-INT($P101))</x:f>
      </x:c>
      <x:c r="T101" s="54"/>
      <x:c r="U101" s="54"/>
      <x:c r="V101" s="63"/>
      <x:c r="W101" s="74"/>
      <x:c r="X101" s="77" t="str">
        <x:f>IF($C101="","",IFERROR(VLOOKUP($M101,'Lists &amp; Rules'!$L$5:$N$13,2,FALSE),0))</x:f>
      </x:c>
      <x:c r="Y101" s="80" t="str">
        <x:f>IF(OR($C101="",$W101=""),"",ROUND($W101*$X101,0))</x:f>
      </x:c>
      <x:c r="Z101" s="57" t="str">
        <x:f>IF($A101="","",COUNTIF('Activity Log'!$C$6:$C$1005,$A101))</x:f>
      </x:c>
      <x:c r="AA101" s="68"/>
      <x:c r="AB101" s="63"/>
    </x:row>
    <x:row r="102">
      <x:c r="A102" s="54"/>
      <x:c r="B102" s="68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  <x:c r="N102" s="54"/>
      <x:c r="O102" s="57" t="str">
        <x:f>IF($C102="","",MAX(0,MIN(100,IFERROR(VLOOKUP($L102,'Lists &amp; Rules'!$P$5:$Q$8,2,FALSE),0)+IFERROR(VLOOKUP($N102,'Lists &amp; Rules'!$S$5:$T$7,2,FALSE),0)+IFERROR(VLOOKUP($M102,'Lists &amp; Rules'!$L$5:$N$13,3,FALSE),0)+IF($R102="Overdue",-10,IF($R102="Today",5,0))+MIN(15,$Z102*3))))</x:f>
      </x:c>
      <x:c r="P102" s="71" t="str">
        <x:f>IF($A102="","",IF(COUNTIF('Activity Log'!$C$6:$C$1005,$A102)=0,"",MAXIFS('Activity Log'!$B$6:$B$1005,'Activity Log'!$C$6:$C$1005,$A102)))</x:f>
      </x:c>
      <x:c r="Q102" s="71" t="str">
        <x:f>IF($A102="","",IF(COUNTIFS('Activity Log'!$C$6:$C$1005,$A102,'Activity Log'!$J$6:$J$1005,"No",'Activity Log'!$I$6:$I$1005,"&gt;0")=0,"",MINIFS('Activity Log'!$I$6:$I$1005,'Activity Log'!$C$6:$C$1005,$A102,'Activity Log'!$J$6:$J$1005,"No",'Activity Log'!$I$6:$I$1005,"&gt;0")))</x:f>
      </x:c>
      <x:c r="R102" s="57" t="str">
        <x:f>IF($C102="","",IF(OR($K102="Won",$K102="Lost",$K102="Disqualified"),"Closed",IF($Q102="","No date",IF(INT($Q102)&lt;TODAY(),"Overdue",IF(INT($Q102)=TODAY(),"Today",IF(INT($Q102)&lt;=TODAY()+7,"Next 7 days","Later"))))))</x:f>
      </x:c>
      <x:c r="S102" s="57" t="str">
        <x:f>IF(OR($C102="",$P102=""),"",TODAY()-INT($P102))</x:f>
      </x:c>
      <x:c r="T102" s="54"/>
      <x:c r="U102" s="54"/>
      <x:c r="V102" s="63"/>
      <x:c r="W102" s="74"/>
      <x:c r="X102" s="77" t="str">
        <x:f>IF($C102="","",IFERROR(VLOOKUP($M102,'Lists &amp; Rules'!$L$5:$N$13,2,FALSE),0))</x:f>
      </x:c>
      <x:c r="Y102" s="80" t="str">
        <x:f>IF(OR($C102="",$W102=""),"",ROUND($W102*$X102,0))</x:f>
      </x:c>
      <x:c r="Z102" s="57" t="str">
        <x:f>IF($A102="","",COUNTIF('Activity Log'!$C$6:$C$1005,$A102))</x:f>
      </x:c>
      <x:c r="AA102" s="68"/>
      <x:c r="AB102" s="63"/>
    </x:row>
    <x:row r="103">
      <x:c r="A103" s="54"/>
      <x:c r="B103" s="68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  <x:c r="N103" s="54"/>
      <x:c r="O103" s="57" t="str">
        <x:f>IF($C103="","",MAX(0,MIN(100,IFERROR(VLOOKUP($L103,'Lists &amp; Rules'!$P$5:$Q$8,2,FALSE),0)+IFERROR(VLOOKUP($N103,'Lists &amp; Rules'!$S$5:$T$7,2,FALSE),0)+IFERROR(VLOOKUP($M103,'Lists &amp; Rules'!$L$5:$N$13,3,FALSE),0)+IF($R103="Overdue",-10,IF($R103="Today",5,0))+MIN(15,$Z103*3))))</x:f>
      </x:c>
      <x:c r="P103" s="71" t="str">
        <x:f>IF($A103="","",IF(COUNTIF('Activity Log'!$C$6:$C$1005,$A103)=0,"",MAXIFS('Activity Log'!$B$6:$B$1005,'Activity Log'!$C$6:$C$1005,$A103)))</x:f>
      </x:c>
      <x:c r="Q103" s="71" t="str">
        <x:f>IF($A103="","",IF(COUNTIFS('Activity Log'!$C$6:$C$1005,$A103,'Activity Log'!$J$6:$J$1005,"No",'Activity Log'!$I$6:$I$1005,"&gt;0")=0,"",MINIFS('Activity Log'!$I$6:$I$1005,'Activity Log'!$C$6:$C$1005,$A103,'Activity Log'!$J$6:$J$1005,"No",'Activity Log'!$I$6:$I$1005,"&gt;0")))</x:f>
      </x:c>
      <x:c r="R103" s="57" t="str">
        <x:f>IF($C103="","",IF(OR($K103="Won",$K103="Lost",$K103="Disqualified"),"Closed",IF($Q103="","No date",IF(INT($Q103)&lt;TODAY(),"Overdue",IF(INT($Q103)=TODAY(),"Today",IF(INT($Q103)&lt;=TODAY()+7,"Next 7 days","Later"))))))</x:f>
      </x:c>
      <x:c r="S103" s="57" t="str">
        <x:f>IF(OR($C103="",$P103=""),"",TODAY()-INT($P103))</x:f>
      </x:c>
      <x:c r="T103" s="54"/>
      <x:c r="U103" s="54"/>
      <x:c r="V103" s="63"/>
      <x:c r="W103" s="74"/>
      <x:c r="X103" s="77" t="str">
        <x:f>IF($C103="","",IFERROR(VLOOKUP($M103,'Lists &amp; Rules'!$L$5:$N$13,2,FALSE),0))</x:f>
      </x:c>
      <x:c r="Y103" s="80" t="str">
        <x:f>IF(OR($C103="",$W103=""),"",ROUND($W103*$X103,0))</x:f>
      </x:c>
      <x:c r="Z103" s="57" t="str">
        <x:f>IF($A103="","",COUNTIF('Activity Log'!$C$6:$C$1005,$A103))</x:f>
      </x:c>
      <x:c r="AA103" s="68"/>
      <x:c r="AB103" s="63"/>
    </x:row>
    <x:row r="104">
      <x:c r="A104" s="54"/>
      <x:c r="B104" s="68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  <x:c r="N104" s="54"/>
      <x:c r="O104" s="57" t="str">
        <x:f>IF($C104="","",MAX(0,MIN(100,IFERROR(VLOOKUP($L104,'Lists &amp; Rules'!$P$5:$Q$8,2,FALSE),0)+IFERROR(VLOOKUP($N104,'Lists &amp; Rules'!$S$5:$T$7,2,FALSE),0)+IFERROR(VLOOKUP($M104,'Lists &amp; Rules'!$L$5:$N$13,3,FALSE),0)+IF($R104="Overdue",-10,IF($R104="Today",5,0))+MIN(15,$Z104*3))))</x:f>
      </x:c>
      <x:c r="P104" s="71" t="str">
        <x:f>IF($A104="","",IF(COUNTIF('Activity Log'!$C$6:$C$1005,$A104)=0,"",MAXIFS('Activity Log'!$B$6:$B$1005,'Activity Log'!$C$6:$C$1005,$A104)))</x:f>
      </x:c>
      <x:c r="Q104" s="71" t="str">
        <x:f>IF($A104="","",IF(COUNTIFS('Activity Log'!$C$6:$C$1005,$A104,'Activity Log'!$J$6:$J$1005,"No",'Activity Log'!$I$6:$I$1005,"&gt;0")=0,"",MINIFS('Activity Log'!$I$6:$I$1005,'Activity Log'!$C$6:$C$1005,$A104,'Activity Log'!$J$6:$J$1005,"No",'Activity Log'!$I$6:$I$1005,"&gt;0")))</x:f>
      </x:c>
      <x:c r="R104" s="57" t="str">
        <x:f>IF($C104="","",IF(OR($K104="Won",$K104="Lost",$K104="Disqualified"),"Closed",IF($Q104="","No date",IF(INT($Q104)&lt;TODAY(),"Overdue",IF(INT($Q104)=TODAY(),"Today",IF(INT($Q104)&lt;=TODAY()+7,"Next 7 days","Later"))))))</x:f>
      </x:c>
      <x:c r="S104" s="57" t="str">
        <x:f>IF(OR($C104="",$P104=""),"",TODAY()-INT($P104))</x:f>
      </x:c>
      <x:c r="T104" s="54"/>
      <x:c r="U104" s="54"/>
      <x:c r="V104" s="63"/>
      <x:c r="W104" s="74"/>
      <x:c r="X104" s="77" t="str">
        <x:f>IF($C104="","",IFERROR(VLOOKUP($M104,'Lists &amp; Rules'!$L$5:$N$13,2,FALSE),0))</x:f>
      </x:c>
      <x:c r="Y104" s="80" t="str">
        <x:f>IF(OR($C104="",$W104=""),"",ROUND($W104*$X104,0))</x:f>
      </x:c>
      <x:c r="Z104" s="57" t="str">
        <x:f>IF($A104="","",COUNTIF('Activity Log'!$C$6:$C$1005,$A104))</x:f>
      </x:c>
      <x:c r="AA104" s="68"/>
      <x:c r="AB104" s="63"/>
    </x:row>
    <x:row r="105">
      <x:c r="A105" s="54"/>
      <x:c r="B105" s="68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  <x:c r="N105" s="54"/>
      <x:c r="O105" s="57" t="str">
        <x:f>IF($C105="","",MAX(0,MIN(100,IFERROR(VLOOKUP($L105,'Lists &amp; Rules'!$P$5:$Q$8,2,FALSE),0)+IFERROR(VLOOKUP($N105,'Lists &amp; Rules'!$S$5:$T$7,2,FALSE),0)+IFERROR(VLOOKUP($M105,'Lists &amp; Rules'!$L$5:$N$13,3,FALSE),0)+IF($R105="Overdue",-10,IF($R105="Today",5,0))+MIN(15,$Z105*3))))</x:f>
      </x:c>
      <x:c r="P105" s="71" t="str">
        <x:f>IF($A105="","",IF(COUNTIF('Activity Log'!$C$6:$C$1005,$A105)=0,"",MAXIFS('Activity Log'!$B$6:$B$1005,'Activity Log'!$C$6:$C$1005,$A105)))</x:f>
      </x:c>
      <x:c r="Q105" s="71" t="str">
        <x:f>IF($A105="","",IF(COUNTIFS('Activity Log'!$C$6:$C$1005,$A105,'Activity Log'!$J$6:$J$1005,"No",'Activity Log'!$I$6:$I$1005,"&gt;0")=0,"",MINIFS('Activity Log'!$I$6:$I$1005,'Activity Log'!$C$6:$C$1005,$A105,'Activity Log'!$J$6:$J$1005,"No",'Activity Log'!$I$6:$I$1005,"&gt;0")))</x:f>
      </x:c>
      <x:c r="R105" s="57" t="str">
        <x:f>IF($C105="","",IF(OR($K105="Won",$K105="Lost",$K105="Disqualified"),"Closed",IF($Q105="","No date",IF(INT($Q105)&lt;TODAY(),"Overdue",IF(INT($Q105)=TODAY(),"Today",IF(INT($Q105)&lt;=TODAY()+7,"Next 7 days","Later"))))))</x:f>
      </x:c>
      <x:c r="S105" s="57" t="str">
        <x:f>IF(OR($C105="",$P105=""),"",TODAY()-INT($P105))</x:f>
      </x:c>
      <x:c r="T105" s="54"/>
      <x:c r="U105" s="54"/>
      <x:c r="V105" s="63"/>
      <x:c r="W105" s="74"/>
      <x:c r="X105" s="77" t="str">
        <x:f>IF($C105="","",IFERROR(VLOOKUP($M105,'Lists &amp; Rules'!$L$5:$N$13,2,FALSE),0))</x:f>
      </x:c>
      <x:c r="Y105" s="80" t="str">
        <x:f>IF(OR($C105="",$W105=""),"",ROUND($W105*$X105,0))</x:f>
      </x:c>
      <x:c r="Z105" s="57" t="str">
        <x:f>IF($A105="","",COUNTIF('Activity Log'!$C$6:$C$1005,$A105))</x:f>
      </x:c>
      <x:c r="AA105" s="68"/>
      <x:c r="AB105" s="63"/>
    </x:row>
    <x:row r="106">
      <x:c r="A106" s="54"/>
      <x:c r="B106" s="68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  <x:c r="N106" s="54"/>
      <x:c r="O106" s="57" t="str">
        <x:f>IF($C106="","",MAX(0,MIN(100,IFERROR(VLOOKUP($L106,'Lists &amp; Rules'!$P$5:$Q$8,2,FALSE),0)+IFERROR(VLOOKUP($N106,'Lists &amp; Rules'!$S$5:$T$7,2,FALSE),0)+IFERROR(VLOOKUP($M106,'Lists &amp; Rules'!$L$5:$N$13,3,FALSE),0)+IF($R106="Overdue",-10,IF($R106="Today",5,0))+MIN(15,$Z106*3))))</x:f>
      </x:c>
      <x:c r="P106" s="71" t="str">
        <x:f>IF($A106="","",IF(COUNTIF('Activity Log'!$C$6:$C$1005,$A106)=0,"",MAXIFS('Activity Log'!$B$6:$B$1005,'Activity Log'!$C$6:$C$1005,$A106)))</x:f>
      </x:c>
      <x:c r="Q106" s="71" t="str">
        <x:f>IF($A106="","",IF(COUNTIFS('Activity Log'!$C$6:$C$1005,$A106,'Activity Log'!$J$6:$J$1005,"No",'Activity Log'!$I$6:$I$1005,"&gt;0")=0,"",MINIFS('Activity Log'!$I$6:$I$1005,'Activity Log'!$C$6:$C$1005,$A106,'Activity Log'!$J$6:$J$1005,"No",'Activity Log'!$I$6:$I$1005,"&gt;0")))</x:f>
      </x:c>
      <x:c r="R106" s="57" t="str">
        <x:f>IF($C106="","",IF(OR($K106="Won",$K106="Lost",$K106="Disqualified"),"Closed",IF($Q106="","No date",IF(INT($Q106)&lt;TODAY(),"Overdue",IF(INT($Q106)=TODAY(),"Today",IF(INT($Q106)&lt;=TODAY()+7,"Next 7 days","Later"))))))</x:f>
      </x:c>
      <x:c r="S106" s="57" t="str">
        <x:f>IF(OR($C106="",$P106=""),"",TODAY()-INT($P106))</x:f>
      </x:c>
      <x:c r="T106" s="54"/>
      <x:c r="U106" s="54"/>
      <x:c r="V106" s="63"/>
      <x:c r="W106" s="74"/>
      <x:c r="X106" s="77" t="str">
        <x:f>IF($C106="","",IFERROR(VLOOKUP($M106,'Lists &amp; Rules'!$L$5:$N$13,2,FALSE),0))</x:f>
      </x:c>
      <x:c r="Y106" s="80" t="str">
        <x:f>IF(OR($C106="",$W106=""),"",ROUND($W106*$X106,0))</x:f>
      </x:c>
      <x:c r="Z106" s="57" t="str">
        <x:f>IF($A106="","",COUNTIF('Activity Log'!$C$6:$C$1005,$A106))</x:f>
      </x:c>
      <x:c r="AA106" s="68"/>
      <x:c r="AB106" s="63"/>
    </x:row>
    <x:row r="107">
      <x:c r="A107" s="54"/>
      <x:c r="B107" s="68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  <x:c r="N107" s="54"/>
      <x:c r="O107" s="57" t="str">
        <x:f>IF($C107="","",MAX(0,MIN(100,IFERROR(VLOOKUP($L107,'Lists &amp; Rules'!$P$5:$Q$8,2,FALSE),0)+IFERROR(VLOOKUP($N107,'Lists &amp; Rules'!$S$5:$T$7,2,FALSE),0)+IFERROR(VLOOKUP($M107,'Lists &amp; Rules'!$L$5:$N$13,3,FALSE),0)+IF($R107="Overdue",-10,IF($R107="Today",5,0))+MIN(15,$Z107*3))))</x:f>
      </x:c>
      <x:c r="P107" s="71" t="str">
        <x:f>IF($A107="","",IF(COUNTIF('Activity Log'!$C$6:$C$1005,$A107)=0,"",MAXIFS('Activity Log'!$B$6:$B$1005,'Activity Log'!$C$6:$C$1005,$A107)))</x:f>
      </x:c>
      <x:c r="Q107" s="71" t="str">
        <x:f>IF($A107="","",IF(COUNTIFS('Activity Log'!$C$6:$C$1005,$A107,'Activity Log'!$J$6:$J$1005,"No",'Activity Log'!$I$6:$I$1005,"&gt;0")=0,"",MINIFS('Activity Log'!$I$6:$I$1005,'Activity Log'!$C$6:$C$1005,$A107,'Activity Log'!$J$6:$J$1005,"No",'Activity Log'!$I$6:$I$1005,"&gt;0")))</x:f>
      </x:c>
      <x:c r="R107" s="57" t="str">
        <x:f>IF($C107="","",IF(OR($K107="Won",$K107="Lost",$K107="Disqualified"),"Closed",IF($Q107="","No date",IF(INT($Q107)&lt;TODAY(),"Overdue",IF(INT($Q107)=TODAY(),"Today",IF(INT($Q107)&lt;=TODAY()+7,"Next 7 days","Later"))))))</x:f>
      </x:c>
      <x:c r="S107" s="57" t="str">
        <x:f>IF(OR($C107="",$P107=""),"",TODAY()-INT($P107))</x:f>
      </x:c>
      <x:c r="T107" s="54"/>
      <x:c r="U107" s="54"/>
      <x:c r="V107" s="63"/>
      <x:c r="W107" s="74"/>
      <x:c r="X107" s="77" t="str">
        <x:f>IF($C107="","",IFERROR(VLOOKUP($M107,'Lists &amp; Rules'!$L$5:$N$13,2,FALSE),0))</x:f>
      </x:c>
      <x:c r="Y107" s="80" t="str">
        <x:f>IF(OR($C107="",$W107=""),"",ROUND($W107*$X107,0))</x:f>
      </x:c>
      <x:c r="Z107" s="57" t="str">
        <x:f>IF($A107="","",COUNTIF('Activity Log'!$C$6:$C$1005,$A107))</x:f>
      </x:c>
      <x:c r="AA107" s="68"/>
      <x:c r="AB107" s="63"/>
    </x:row>
    <x:row r="108">
      <x:c r="A108" s="54"/>
      <x:c r="B108" s="68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  <x:c r="N108" s="54"/>
      <x:c r="O108" s="57" t="str">
        <x:f>IF($C108="","",MAX(0,MIN(100,IFERROR(VLOOKUP($L108,'Lists &amp; Rules'!$P$5:$Q$8,2,FALSE),0)+IFERROR(VLOOKUP($N108,'Lists &amp; Rules'!$S$5:$T$7,2,FALSE),0)+IFERROR(VLOOKUP($M108,'Lists &amp; Rules'!$L$5:$N$13,3,FALSE),0)+IF($R108="Overdue",-10,IF($R108="Today",5,0))+MIN(15,$Z108*3))))</x:f>
      </x:c>
      <x:c r="P108" s="71" t="str">
        <x:f>IF($A108="","",IF(COUNTIF('Activity Log'!$C$6:$C$1005,$A108)=0,"",MAXIFS('Activity Log'!$B$6:$B$1005,'Activity Log'!$C$6:$C$1005,$A108)))</x:f>
      </x:c>
      <x:c r="Q108" s="71" t="str">
        <x:f>IF($A108="","",IF(COUNTIFS('Activity Log'!$C$6:$C$1005,$A108,'Activity Log'!$J$6:$J$1005,"No",'Activity Log'!$I$6:$I$1005,"&gt;0")=0,"",MINIFS('Activity Log'!$I$6:$I$1005,'Activity Log'!$C$6:$C$1005,$A108,'Activity Log'!$J$6:$J$1005,"No",'Activity Log'!$I$6:$I$1005,"&gt;0")))</x:f>
      </x:c>
      <x:c r="R108" s="57" t="str">
        <x:f>IF($C108="","",IF(OR($K108="Won",$K108="Lost",$K108="Disqualified"),"Closed",IF($Q108="","No date",IF(INT($Q108)&lt;TODAY(),"Overdue",IF(INT($Q108)=TODAY(),"Today",IF(INT($Q108)&lt;=TODAY()+7,"Next 7 days","Later"))))))</x:f>
      </x:c>
      <x:c r="S108" s="57" t="str">
        <x:f>IF(OR($C108="",$P108=""),"",TODAY()-INT($P108))</x:f>
      </x:c>
      <x:c r="T108" s="54"/>
      <x:c r="U108" s="54"/>
      <x:c r="V108" s="63"/>
      <x:c r="W108" s="74"/>
      <x:c r="X108" s="77" t="str">
        <x:f>IF($C108="","",IFERROR(VLOOKUP($M108,'Lists &amp; Rules'!$L$5:$N$13,2,FALSE),0))</x:f>
      </x:c>
      <x:c r="Y108" s="80" t="str">
        <x:f>IF(OR($C108="",$W108=""),"",ROUND($W108*$X108,0))</x:f>
      </x:c>
      <x:c r="Z108" s="57" t="str">
        <x:f>IF($A108="","",COUNTIF('Activity Log'!$C$6:$C$1005,$A108))</x:f>
      </x:c>
      <x:c r="AA108" s="68"/>
      <x:c r="AB108" s="63"/>
    </x:row>
    <x:row r="109">
      <x:c r="A109" s="54"/>
      <x:c r="B109" s="68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  <x:c r="N109" s="54"/>
      <x:c r="O109" s="57" t="str">
        <x:f>IF($C109="","",MAX(0,MIN(100,IFERROR(VLOOKUP($L109,'Lists &amp; Rules'!$P$5:$Q$8,2,FALSE),0)+IFERROR(VLOOKUP($N109,'Lists &amp; Rules'!$S$5:$T$7,2,FALSE),0)+IFERROR(VLOOKUP($M109,'Lists &amp; Rules'!$L$5:$N$13,3,FALSE),0)+IF($R109="Overdue",-10,IF($R109="Today",5,0))+MIN(15,$Z109*3))))</x:f>
      </x:c>
      <x:c r="P109" s="71" t="str">
        <x:f>IF($A109="","",IF(COUNTIF('Activity Log'!$C$6:$C$1005,$A109)=0,"",MAXIFS('Activity Log'!$B$6:$B$1005,'Activity Log'!$C$6:$C$1005,$A109)))</x:f>
      </x:c>
      <x:c r="Q109" s="71" t="str">
        <x:f>IF($A109="","",IF(COUNTIFS('Activity Log'!$C$6:$C$1005,$A109,'Activity Log'!$J$6:$J$1005,"No",'Activity Log'!$I$6:$I$1005,"&gt;0")=0,"",MINIFS('Activity Log'!$I$6:$I$1005,'Activity Log'!$C$6:$C$1005,$A109,'Activity Log'!$J$6:$J$1005,"No",'Activity Log'!$I$6:$I$1005,"&gt;0")))</x:f>
      </x:c>
      <x:c r="R109" s="57" t="str">
        <x:f>IF($C109="","",IF(OR($K109="Won",$K109="Lost",$K109="Disqualified"),"Closed",IF($Q109="","No date",IF(INT($Q109)&lt;TODAY(),"Overdue",IF(INT($Q109)=TODAY(),"Today",IF(INT($Q109)&lt;=TODAY()+7,"Next 7 days","Later"))))))</x:f>
      </x:c>
      <x:c r="S109" s="57" t="str">
        <x:f>IF(OR($C109="",$P109=""),"",TODAY()-INT($P109))</x:f>
      </x:c>
      <x:c r="T109" s="54"/>
      <x:c r="U109" s="54"/>
      <x:c r="V109" s="63"/>
      <x:c r="W109" s="74"/>
      <x:c r="X109" s="77" t="str">
        <x:f>IF($C109="","",IFERROR(VLOOKUP($M109,'Lists &amp; Rules'!$L$5:$N$13,2,FALSE),0))</x:f>
      </x:c>
      <x:c r="Y109" s="80" t="str">
        <x:f>IF(OR($C109="",$W109=""),"",ROUND($W109*$X109,0))</x:f>
      </x:c>
      <x:c r="Z109" s="57" t="str">
        <x:f>IF($A109="","",COUNTIF('Activity Log'!$C$6:$C$1005,$A109))</x:f>
      </x:c>
      <x:c r="AA109" s="68"/>
      <x:c r="AB109" s="63"/>
    </x:row>
    <x:row r="110">
      <x:c r="A110" s="54"/>
      <x:c r="B110" s="68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  <x:c r="N110" s="54"/>
      <x:c r="O110" s="57" t="str">
        <x:f>IF($C110="","",MAX(0,MIN(100,IFERROR(VLOOKUP($L110,'Lists &amp; Rules'!$P$5:$Q$8,2,FALSE),0)+IFERROR(VLOOKUP($N110,'Lists &amp; Rules'!$S$5:$T$7,2,FALSE),0)+IFERROR(VLOOKUP($M110,'Lists &amp; Rules'!$L$5:$N$13,3,FALSE),0)+IF($R110="Overdue",-10,IF($R110="Today",5,0))+MIN(15,$Z110*3))))</x:f>
      </x:c>
      <x:c r="P110" s="71" t="str">
        <x:f>IF($A110="","",IF(COUNTIF('Activity Log'!$C$6:$C$1005,$A110)=0,"",MAXIFS('Activity Log'!$B$6:$B$1005,'Activity Log'!$C$6:$C$1005,$A110)))</x:f>
      </x:c>
      <x:c r="Q110" s="71" t="str">
        <x:f>IF($A110="","",IF(COUNTIFS('Activity Log'!$C$6:$C$1005,$A110,'Activity Log'!$J$6:$J$1005,"No",'Activity Log'!$I$6:$I$1005,"&gt;0")=0,"",MINIFS('Activity Log'!$I$6:$I$1005,'Activity Log'!$C$6:$C$1005,$A110,'Activity Log'!$J$6:$J$1005,"No",'Activity Log'!$I$6:$I$1005,"&gt;0")))</x:f>
      </x:c>
      <x:c r="R110" s="57" t="str">
        <x:f>IF($C110="","",IF(OR($K110="Won",$K110="Lost",$K110="Disqualified"),"Closed",IF($Q110="","No date",IF(INT($Q110)&lt;TODAY(),"Overdue",IF(INT($Q110)=TODAY(),"Today",IF(INT($Q110)&lt;=TODAY()+7,"Next 7 days","Later"))))))</x:f>
      </x:c>
      <x:c r="S110" s="57" t="str">
        <x:f>IF(OR($C110="",$P110=""),"",TODAY()-INT($P110))</x:f>
      </x:c>
      <x:c r="T110" s="54"/>
      <x:c r="U110" s="54"/>
      <x:c r="V110" s="63"/>
      <x:c r="W110" s="74"/>
      <x:c r="X110" s="77" t="str">
        <x:f>IF($C110="","",IFERROR(VLOOKUP($M110,'Lists &amp; Rules'!$L$5:$N$13,2,FALSE),0))</x:f>
      </x:c>
      <x:c r="Y110" s="80" t="str">
        <x:f>IF(OR($C110="",$W110=""),"",ROUND($W110*$X110,0))</x:f>
      </x:c>
      <x:c r="Z110" s="57" t="str">
        <x:f>IF($A110="","",COUNTIF('Activity Log'!$C$6:$C$1005,$A110))</x:f>
      </x:c>
      <x:c r="AA110" s="68"/>
      <x:c r="AB110" s="63"/>
    </x:row>
    <x:row r="111">
      <x:c r="A111" s="54"/>
      <x:c r="B111" s="68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  <x:c r="N111" s="54"/>
      <x:c r="O111" s="57" t="str">
        <x:f>IF($C111="","",MAX(0,MIN(100,IFERROR(VLOOKUP($L111,'Lists &amp; Rules'!$P$5:$Q$8,2,FALSE),0)+IFERROR(VLOOKUP($N111,'Lists &amp; Rules'!$S$5:$T$7,2,FALSE),0)+IFERROR(VLOOKUP($M111,'Lists &amp; Rules'!$L$5:$N$13,3,FALSE),0)+IF($R111="Overdue",-10,IF($R111="Today",5,0))+MIN(15,$Z111*3))))</x:f>
      </x:c>
      <x:c r="P111" s="71" t="str">
        <x:f>IF($A111="","",IF(COUNTIF('Activity Log'!$C$6:$C$1005,$A111)=0,"",MAXIFS('Activity Log'!$B$6:$B$1005,'Activity Log'!$C$6:$C$1005,$A111)))</x:f>
      </x:c>
      <x:c r="Q111" s="71" t="str">
        <x:f>IF($A111="","",IF(COUNTIFS('Activity Log'!$C$6:$C$1005,$A111,'Activity Log'!$J$6:$J$1005,"No",'Activity Log'!$I$6:$I$1005,"&gt;0")=0,"",MINIFS('Activity Log'!$I$6:$I$1005,'Activity Log'!$C$6:$C$1005,$A111,'Activity Log'!$J$6:$J$1005,"No",'Activity Log'!$I$6:$I$1005,"&gt;0")))</x:f>
      </x:c>
      <x:c r="R111" s="57" t="str">
        <x:f>IF($C111="","",IF(OR($K111="Won",$K111="Lost",$K111="Disqualified"),"Closed",IF($Q111="","No date",IF(INT($Q111)&lt;TODAY(),"Overdue",IF(INT($Q111)=TODAY(),"Today",IF(INT($Q111)&lt;=TODAY()+7,"Next 7 days","Later"))))))</x:f>
      </x:c>
      <x:c r="S111" s="57" t="str">
        <x:f>IF(OR($C111="",$P111=""),"",TODAY()-INT($P111))</x:f>
      </x:c>
      <x:c r="T111" s="54"/>
      <x:c r="U111" s="54"/>
      <x:c r="V111" s="63"/>
      <x:c r="W111" s="74"/>
      <x:c r="X111" s="77" t="str">
        <x:f>IF($C111="","",IFERROR(VLOOKUP($M111,'Lists &amp; Rules'!$L$5:$N$13,2,FALSE),0))</x:f>
      </x:c>
      <x:c r="Y111" s="80" t="str">
        <x:f>IF(OR($C111="",$W111=""),"",ROUND($W111*$X111,0))</x:f>
      </x:c>
      <x:c r="Z111" s="57" t="str">
        <x:f>IF($A111="","",COUNTIF('Activity Log'!$C$6:$C$1005,$A111))</x:f>
      </x:c>
      <x:c r="AA111" s="68"/>
      <x:c r="AB111" s="63"/>
    </x:row>
    <x:row r="112">
      <x:c r="A112" s="54"/>
      <x:c r="B112" s="68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  <x:c r="N112" s="54"/>
      <x:c r="O112" s="57" t="str">
        <x:f>IF($C112="","",MAX(0,MIN(100,IFERROR(VLOOKUP($L112,'Lists &amp; Rules'!$P$5:$Q$8,2,FALSE),0)+IFERROR(VLOOKUP($N112,'Lists &amp; Rules'!$S$5:$T$7,2,FALSE),0)+IFERROR(VLOOKUP($M112,'Lists &amp; Rules'!$L$5:$N$13,3,FALSE),0)+IF($R112="Overdue",-10,IF($R112="Today",5,0))+MIN(15,$Z112*3))))</x:f>
      </x:c>
      <x:c r="P112" s="71" t="str">
        <x:f>IF($A112="","",IF(COUNTIF('Activity Log'!$C$6:$C$1005,$A112)=0,"",MAXIFS('Activity Log'!$B$6:$B$1005,'Activity Log'!$C$6:$C$1005,$A112)))</x:f>
      </x:c>
      <x:c r="Q112" s="71" t="str">
        <x:f>IF($A112="","",IF(COUNTIFS('Activity Log'!$C$6:$C$1005,$A112,'Activity Log'!$J$6:$J$1005,"No",'Activity Log'!$I$6:$I$1005,"&gt;0")=0,"",MINIFS('Activity Log'!$I$6:$I$1005,'Activity Log'!$C$6:$C$1005,$A112,'Activity Log'!$J$6:$J$1005,"No",'Activity Log'!$I$6:$I$1005,"&gt;0")))</x:f>
      </x:c>
      <x:c r="R112" s="57" t="str">
        <x:f>IF($C112="","",IF(OR($K112="Won",$K112="Lost",$K112="Disqualified"),"Closed",IF($Q112="","No date",IF(INT($Q112)&lt;TODAY(),"Overdue",IF(INT($Q112)=TODAY(),"Today",IF(INT($Q112)&lt;=TODAY()+7,"Next 7 days","Later"))))))</x:f>
      </x:c>
      <x:c r="S112" s="57" t="str">
        <x:f>IF(OR($C112="",$P112=""),"",TODAY()-INT($P112))</x:f>
      </x:c>
      <x:c r="T112" s="54"/>
      <x:c r="U112" s="54"/>
      <x:c r="V112" s="63"/>
      <x:c r="W112" s="74"/>
      <x:c r="X112" s="77" t="str">
        <x:f>IF($C112="","",IFERROR(VLOOKUP($M112,'Lists &amp; Rules'!$L$5:$N$13,2,FALSE),0))</x:f>
      </x:c>
      <x:c r="Y112" s="80" t="str">
        <x:f>IF(OR($C112="",$W112=""),"",ROUND($W112*$X112,0))</x:f>
      </x:c>
      <x:c r="Z112" s="57" t="str">
        <x:f>IF($A112="","",COUNTIF('Activity Log'!$C$6:$C$1005,$A112))</x:f>
      </x:c>
      <x:c r="AA112" s="68"/>
      <x:c r="AB112" s="63"/>
    </x:row>
    <x:row r="113">
      <x:c r="A113" s="54"/>
      <x:c r="B113" s="68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  <x:c r="N113" s="54"/>
      <x:c r="O113" s="57" t="str">
        <x:f>IF($C113="","",MAX(0,MIN(100,IFERROR(VLOOKUP($L113,'Lists &amp; Rules'!$P$5:$Q$8,2,FALSE),0)+IFERROR(VLOOKUP($N113,'Lists &amp; Rules'!$S$5:$T$7,2,FALSE),0)+IFERROR(VLOOKUP($M113,'Lists &amp; Rules'!$L$5:$N$13,3,FALSE),0)+IF($R113="Overdue",-10,IF($R113="Today",5,0))+MIN(15,$Z113*3))))</x:f>
      </x:c>
      <x:c r="P113" s="71" t="str">
        <x:f>IF($A113="","",IF(COUNTIF('Activity Log'!$C$6:$C$1005,$A113)=0,"",MAXIFS('Activity Log'!$B$6:$B$1005,'Activity Log'!$C$6:$C$1005,$A113)))</x:f>
      </x:c>
      <x:c r="Q113" s="71" t="str">
        <x:f>IF($A113="","",IF(COUNTIFS('Activity Log'!$C$6:$C$1005,$A113,'Activity Log'!$J$6:$J$1005,"No",'Activity Log'!$I$6:$I$1005,"&gt;0")=0,"",MINIFS('Activity Log'!$I$6:$I$1005,'Activity Log'!$C$6:$C$1005,$A113,'Activity Log'!$J$6:$J$1005,"No",'Activity Log'!$I$6:$I$1005,"&gt;0")))</x:f>
      </x:c>
      <x:c r="R113" s="57" t="str">
        <x:f>IF($C113="","",IF(OR($K113="Won",$K113="Lost",$K113="Disqualified"),"Closed",IF($Q113="","No date",IF(INT($Q113)&lt;TODAY(),"Overdue",IF(INT($Q113)=TODAY(),"Today",IF(INT($Q113)&lt;=TODAY()+7,"Next 7 days","Later"))))))</x:f>
      </x:c>
      <x:c r="S113" s="57" t="str">
        <x:f>IF(OR($C113="",$P113=""),"",TODAY()-INT($P113))</x:f>
      </x:c>
      <x:c r="T113" s="54"/>
      <x:c r="U113" s="54"/>
      <x:c r="V113" s="63"/>
      <x:c r="W113" s="74"/>
      <x:c r="X113" s="77" t="str">
        <x:f>IF($C113="","",IFERROR(VLOOKUP($M113,'Lists &amp; Rules'!$L$5:$N$13,2,FALSE),0))</x:f>
      </x:c>
      <x:c r="Y113" s="80" t="str">
        <x:f>IF(OR($C113="",$W113=""),"",ROUND($W113*$X113,0))</x:f>
      </x:c>
      <x:c r="Z113" s="57" t="str">
        <x:f>IF($A113="","",COUNTIF('Activity Log'!$C$6:$C$1005,$A113))</x:f>
      </x:c>
      <x:c r="AA113" s="68"/>
      <x:c r="AB113" s="63"/>
    </x:row>
    <x:row r="114">
      <x:c r="A114" s="54"/>
      <x:c r="B114" s="68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  <x:c r="N114" s="54"/>
      <x:c r="O114" s="57" t="str">
        <x:f>IF($C114="","",MAX(0,MIN(100,IFERROR(VLOOKUP($L114,'Lists &amp; Rules'!$P$5:$Q$8,2,FALSE),0)+IFERROR(VLOOKUP($N114,'Lists &amp; Rules'!$S$5:$T$7,2,FALSE),0)+IFERROR(VLOOKUP($M114,'Lists &amp; Rules'!$L$5:$N$13,3,FALSE),0)+IF($R114="Overdue",-10,IF($R114="Today",5,0))+MIN(15,$Z114*3))))</x:f>
      </x:c>
      <x:c r="P114" s="71" t="str">
        <x:f>IF($A114="","",IF(COUNTIF('Activity Log'!$C$6:$C$1005,$A114)=0,"",MAXIFS('Activity Log'!$B$6:$B$1005,'Activity Log'!$C$6:$C$1005,$A114)))</x:f>
      </x:c>
      <x:c r="Q114" s="71" t="str">
        <x:f>IF($A114="","",IF(COUNTIFS('Activity Log'!$C$6:$C$1005,$A114,'Activity Log'!$J$6:$J$1005,"No",'Activity Log'!$I$6:$I$1005,"&gt;0")=0,"",MINIFS('Activity Log'!$I$6:$I$1005,'Activity Log'!$C$6:$C$1005,$A114,'Activity Log'!$J$6:$J$1005,"No",'Activity Log'!$I$6:$I$1005,"&gt;0")))</x:f>
      </x:c>
      <x:c r="R114" s="57" t="str">
        <x:f>IF($C114="","",IF(OR($K114="Won",$K114="Lost",$K114="Disqualified"),"Closed",IF($Q114="","No date",IF(INT($Q114)&lt;TODAY(),"Overdue",IF(INT($Q114)=TODAY(),"Today",IF(INT($Q114)&lt;=TODAY()+7,"Next 7 days","Later"))))))</x:f>
      </x:c>
      <x:c r="S114" s="57" t="str">
        <x:f>IF(OR($C114="",$P114=""),"",TODAY()-INT($P114))</x:f>
      </x:c>
      <x:c r="T114" s="54"/>
      <x:c r="U114" s="54"/>
      <x:c r="V114" s="63"/>
      <x:c r="W114" s="74"/>
      <x:c r="X114" s="77" t="str">
        <x:f>IF($C114="","",IFERROR(VLOOKUP($M114,'Lists &amp; Rules'!$L$5:$N$13,2,FALSE),0))</x:f>
      </x:c>
      <x:c r="Y114" s="80" t="str">
        <x:f>IF(OR($C114="",$W114=""),"",ROUND($W114*$X114,0))</x:f>
      </x:c>
      <x:c r="Z114" s="57" t="str">
        <x:f>IF($A114="","",COUNTIF('Activity Log'!$C$6:$C$1005,$A114))</x:f>
      </x:c>
      <x:c r="AA114" s="68"/>
      <x:c r="AB114" s="63"/>
    </x:row>
    <x:row r="115">
      <x:c r="A115" s="54"/>
      <x:c r="B115" s="68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  <x:c r="N115" s="54"/>
      <x:c r="O115" s="57" t="str">
        <x:f>IF($C115="","",MAX(0,MIN(100,IFERROR(VLOOKUP($L115,'Lists &amp; Rules'!$P$5:$Q$8,2,FALSE),0)+IFERROR(VLOOKUP($N115,'Lists &amp; Rules'!$S$5:$T$7,2,FALSE),0)+IFERROR(VLOOKUP($M115,'Lists &amp; Rules'!$L$5:$N$13,3,FALSE),0)+IF($R115="Overdue",-10,IF($R115="Today",5,0))+MIN(15,$Z115*3))))</x:f>
      </x:c>
      <x:c r="P115" s="71" t="str">
        <x:f>IF($A115="","",IF(COUNTIF('Activity Log'!$C$6:$C$1005,$A115)=0,"",MAXIFS('Activity Log'!$B$6:$B$1005,'Activity Log'!$C$6:$C$1005,$A115)))</x:f>
      </x:c>
      <x:c r="Q115" s="71" t="str">
        <x:f>IF($A115="","",IF(COUNTIFS('Activity Log'!$C$6:$C$1005,$A115,'Activity Log'!$J$6:$J$1005,"No",'Activity Log'!$I$6:$I$1005,"&gt;0")=0,"",MINIFS('Activity Log'!$I$6:$I$1005,'Activity Log'!$C$6:$C$1005,$A115,'Activity Log'!$J$6:$J$1005,"No",'Activity Log'!$I$6:$I$1005,"&gt;0")))</x:f>
      </x:c>
      <x:c r="R115" s="57" t="str">
        <x:f>IF($C115="","",IF(OR($K115="Won",$K115="Lost",$K115="Disqualified"),"Closed",IF($Q115="","No date",IF(INT($Q115)&lt;TODAY(),"Overdue",IF(INT($Q115)=TODAY(),"Today",IF(INT($Q115)&lt;=TODAY()+7,"Next 7 days","Later"))))))</x:f>
      </x:c>
      <x:c r="S115" s="57" t="str">
        <x:f>IF(OR($C115="",$P115=""),"",TODAY()-INT($P115))</x:f>
      </x:c>
      <x:c r="T115" s="54"/>
      <x:c r="U115" s="54"/>
      <x:c r="V115" s="63"/>
      <x:c r="W115" s="74"/>
      <x:c r="X115" s="77" t="str">
        <x:f>IF($C115="","",IFERROR(VLOOKUP($M115,'Lists &amp; Rules'!$L$5:$N$13,2,FALSE),0))</x:f>
      </x:c>
      <x:c r="Y115" s="80" t="str">
        <x:f>IF(OR($C115="",$W115=""),"",ROUND($W115*$X115,0))</x:f>
      </x:c>
      <x:c r="Z115" s="57" t="str">
        <x:f>IF($A115="","",COUNTIF('Activity Log'!$C$6:$C$1005,$A115))</x:f>
      </x:c>
      <x:c r="AA115" s="68"/>
      <x:c r="AB115" s="63"/>
    </x:row>
    <x:row r="116">
      <x:c r="A116" s="54"/>
      <x:c r="B116" s="68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  <x:c r="N116" s="54"/>
      <x:c r="O116" s="57" t="str">
        <x:f>IF($C116="","",MAX(0,MIN(100,IFERROR(VLOOKUP($L116,'Lists &amp; Rules'!$P$5:$Q$8,2,FALSE),0)+IFERROR(VLOOKUP($N116,'Lists &amp; Rules'!$S$5:$T$7,2,FALSE),0)+IFERROR(VLOOKUP($M116,'Lists &amp; Rules'!$L$5:$N$13,3,FALSE),0)+IF($R116="Overdue",-10,IF($R116="Today",5,0))+MIN(15,$Z116*3))))</x:f>
      </x:c>
      <x:c r="P116" s="71" t="str">
        <x:f>IF($A116="","",IF(COUNTIF('Activity Log'!$C$6:$C$1005,$A116)=0,"",MAXIFS('Activity Log'!$B$6:$B$1005,'Activity Log'!$C$6:$C$1005,$A116)))</x:f>
      </x:c>
      <x:c r="Q116" s="71" t="str">
        <x:f>IF($A116="","",IF(COUNTIFS('Activity Log'!$C$6:$C$1005,$A116,'Activity Log'!$J$6:$J$1005,"No",'Activity Log'!$I$6:$I$1005,"&gt;0")=0,"",MINIFS('Activity Log'!$I$6:$I$1005,'Activity Log'!$C$6:$C$1005,$A116,'Activity Log'!$J$6:$J$1005,"No",'Activity Log'!$I$6:$I$1005,"&gt;0")))</x:f>
      </x:c>
      <x:c r="R116" s="57" t="str">
        <x:f>IF($C116="","",IF(OR($K116="Won",$K116="Lost",$K116="Disqualified"),"Closed",IF($Q116="","No date",IF(INT($Q116)&lt;TODAY(),"Overdue",IF(INT($Q116)=TODAY(),"Today",IF(INT($Q116)&lt;=TODAY()+7,"Next 7 days","Later"))))))</x:f>
      </x:c>
      <x:c r="S116" s="57" t="str">
        <x:f>IF(OR($C116="",$P116=""),"",TODAY()-INT($P116))</x:f>
      </x:c>
      <x:c r="T116" s="54"/>
      <x:c r="U116" s="54"/>
      <x:c r="V116" s="63"/>
      <x:c r="W116" s="74"/>
      <x:c r="X116" s="77" t="str">
        <x:f>IF($C116="","",IFERROR(VLOOKUP($M116,'Lists &amp; Rules'!$L$5:$N$13,2,FALSE),0))</x:f>
      </x:c>
      <x:c r="Y116" s="80" t="str">
        <x:f>IF(OR($C116="",$W116=""),"",ROUND($W116*$X116,0))</x:f>
      </x:c>
      <x:c r="Z116" s="57" t="str">
        <x:f>IF($A116="","",COUNTIF('Activity Log'!$C$6:$C$1005,$A116))</x:f>
      </x:c>
      <x:c r="AA116" s="68"/>
      <x:c r="AB116" s="63"/>
    </x:row>
    <x:row r="117">
      <x:c r="A117" s="54"/>
      <x:c r="B117" s="68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  <x:c r="N117" s="54"/>
      <x:c r="O117" s="57" t="str">
        <x:f>IF($C117="","",MAX(0,MIN(100,IFERROR(VLOOKUP($L117,'Lists &amp; Rules'!$P$5:$Q$8,2,FALSE),0)+IFERROR(VLOOKUP($N117,'Lists &amp; Rules'!$S$5:$T$7,2,FALSE),0)+IFERROR(VLOOKUP($M117,'Lists &amp; Rules'!$L$5:$N$13,3,FALSE),0)+IF($R117="Overdue",-10,IF($R117="Today",5,0))+MIN(15,$Z117*3))))</x:f>
      </x:c>
      <x:c r="P117" s="71" t="str">
        <x:f>IF($A117="","",IF(COUNTIF('Activity Log'!$C$6:$C$1005,$A117)=0,"",MAXIFS('Activity Log'!$B$6:$B$1005,'Activity Log'!$C$6:$C$1005,$A117)))</x:f>
      </x:c>
      <x:c r="Q117" s="71" t="str">
        <x:f>IF($A117="","",IF(COUNTIFS('Activity Log'!$C$6:$C$1005,$A117,'Activity Log'!$J$6:$J$1005,"No",'Activity Log'!$I$6:$I$1005,"&gt;0")=0,"",MINIFS('Activity Log'!$I$6:$I$1005,'Activity Log'!$C$6:$C$1005,$A117,'Activity Log'!$J$6:$J$1005,"No",'Activity Log'!$I$6:$I$1005,"&gt;0")))</x:f>
      </x:c>
      <x:c r="R117" s="57" t="str">
        <x:f>IF($C117="","",IF(OR($K117="Won",$K117="Lost",$K117="Disqualified"),"Closed",IF($Q117="","No date",IF(INT($Q117)&lt;TODAY(),"Overdue",IF(INT($Q117)=TODAY(),"Today",IF(INT($Q117)&lt;=TODAY()+7,"Next 7 days","Later"))))))</x:f>
      </x:c>
      <x:c r="S117" s="57" t="str">
        <x:f>IF(OR($C117="",$P117=""),"",TODAY()-INT($P117))</x:f>
      </x:c>
      <x:c r="T117" s="54"/>
      <x:c r="U117" s="54"/>
      <x:c r="V117" s="63"/>
      <x:c r="W117" s="74"/>
      <x:c r="X117" s="77" t="str">
        <x:f>IF($C117="","",IFERROR(VLOOKUP($M117,'Lists &amp; Rules'!$L$5:$N$13,2,FALSE),0))</x:f>
      </x:c>
      <x:c r="Y117" s="80" t="str">
        <x:f>IF(OR($C117="",$W117=""),"",ROUND($W117*$X117,0))</x:f>
      </x:c>
      <x:c r="Z117" s="57" t="str">
        <x:f>IF($A117="","",COUNTIF('Activity Log'!$C$6:$C$1005,$A117))</x:f>
      </x:c>
      <x:c r="AA117" s="68"/>
      <x:c r="AB117" s="63"/>
    </x:row>
    <x:row r="118">
      <x:c r="A118" s="54"/>
      <x:c r="B118" s="68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  <x:c r="N118" s="54"/>
      <x:c r="O118" s="57" t="str">
        <x:f>IF($C118="","",MAX(0,MIN(100,IFERROR(VLOOKUP($L118,'Lists &amp; Rules'!$P$5:$Q$8,2,FALSE),0)+IFERROR(VLOOKUP($N118,'Lists &amp; Rules'!$S$5:$T$7,2,FALSE),0)+IFERROR(VLOOKUP($M118,'Lists &amp; Rules'!$L$5:$N$13,3,FALSE),0)+IF($R118="Overdue",-10,IF($R118="Today",5,0))+MIN(15,$Z118*3))))</x:f>
      </x:c>
      <x:c r="P118" s="71" t="str">
        <x:f>IF($A118="","",IF(COUNTIF('Activity Log'!$C$6:$C$1005,$A118)=0,"",MAXIFS('Activity Log'!$B$6:$B$1005,'Activity Log'!$C$6:$C$1005,$A118)))</x:f>
      </x:c>
      <x:c r="Q118" s="71" t="str">
        <x:f>IF($A118="","",IF(COUNTIFS('Activity Log'!$C$6:$C$1005,$A118,'Activity Log'!$J$6:$J$1005,"No",'Activity Log'!$I$6:$I$1005,"&gt;0")=0,"",MINIFS('Activity Log'!$I$6:$I$1005,'Activity Log'!$C$6:$C$1005,$A118,'Activity Log'!$J$6:$J$1005,"No",'Activity Log'!$I$6:$I$1005,"&gt;0")))</x:f>
      </x:c>
      <x:c r="R118" s="57" t="str">
        <x:f>IF($C118="","",IF(OR($K118="Won",$K118="Lost",$K118="Disqualified"),"Closed",IF($Q118="","No date",IF(INT($Q118)&lt;TODAY(),"Overdue",IF(INT($Q118)=TODAY(),"Today",IF(INT($Q118)&lt;=TODAY()+7,"Next 7 days","Later"))))))</x:f>
      </x:c>
      <x:c r="S118" s="57" t="str">
        <x:f>IF(OR($C118="",$P118=""),"",TODAY()-INT($P118))</x:f>
      </x:c>
      <x:c r="T118" s="54"/>
      <x:c r="U118" s="54"/>
      <x:c r="V118" s="63"/>
      <x:c r="W118" s="74"/>
      <x:c r="X118" s="77" t="str">
        <x:f>IF($C118="","",IFERROR(VLOOKUP($M118,'Lists &amp; Rules'!$L$5:$N$13,2,FALSE),0))</x:f>
      </x:c>
      <x:c r="Y118" s="80" t="str">
        <x:f>IF(OR($C118="",$W118=""),"",ROUND($W118*$X118,0))</x:f>
      </x:c>
      <x:c r="Z118" s="57" t="str">
        <x:f>IF($A118="","",COUNTIF('Activity Log'!$C$6:$C$1005,$A118))</x:f>
      </x:c>
      <x:c r="AA118" s="68"/>
      <x:c r="AB118" s="63"/>
    </x:row>
    <x:row r="119">
      <x:c r="A119" s="54"/>
      <x:c r="B119" s="68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  <x:c r="N119" s="54"/>
      <x:c r="O119" s="57" t="str">
        <x:f>IF($C119="","",MAX(0,MIN(100,IFERROR(VLOOKUP($L119,'Lists &amp; Rules'!$P$5:$Q$8,2,FALSE),0)+IFERROR(VLOOKUP($N119,'Lists &amp; Rules'!$S$5:$T$7,2,FALSE),0)+IFERROR(VLOOKUP($M119,'Lists &amp; Rules'!$L$5:$N$13,3,FALSE),0)+IF($R119="Overdue",-10,IF($R119="Today",5,0))+MIN(15,$Z119*3))))</x:f>
      </x:c>
      <x:c r="P119" s="71" t="str">
        <x:f>IF($A119="","",IF(COUNTIF('Activity Log'!$C$6:$C$1005,$A119)=0,"",MAXIFS('Activity Log'!$B$6:$B$1005,'Activity Log'!$C$6:$C$1005,$A119)))</x:f>
      </x:c>
      <x:c r="Q119" s="71" t="str">
        <x:f>IF($A119="","",IF(COUNTIFS('Activity Log'!$C$6:$C$1005,$A119,'Activity Log'!$J$6:$J$1005,"No",'Activity Log'!$I$6:$I$1005,"&gt;0")=0,"",MINIFS('Activity Log'!$I$6:$I$1005,'Activity Log'!$C$6:$C$1005,$A119,'Activity Log'!$J$6:$J$1005,"No",'Activity Log'!$I$6:$I$1005,"&gt;0")))</x:f>
      </x:c>
      <x:c r="R119" s="57" t="str">
        <x:f>IF($C119="","",IF(OR($K119="Won",$K119="Lost",$K119="Disqualified"),"Closed",IF($Q119="","No date",IF(INT($Q119)&lt;TODAY(),"Overdue",IF(INT($Q119)=TODAY(),"Today",IF(INT($Q119)&lt;=TODAY()+7,"Next 7 days","Later"))))))</x:f>
      </x:c>
      <x:c r="S119" s="57" t="str">
        <x:f>IF(OR($C119="",$P119=""),"",TODAY()-INT($P119))</x:f>
      </x:c>
      <x:c r="T119" s="54"/>
      <x:c r="U119" s="54"/>
      <x:c r="V119" s="63"/>
      <x:c r="W119" s="74"/>
      <x:c r="X119" s="77" t="str">
        <x:f>IF($C119="","",IFERROR(VLOOKUP($M119,'Lists &amp; Rules'!$L$5:$N$13,2,FALSE),0))</x:f>
      </x:c>
      <x:c r="Y119" s="80" t="str">
        <x:f>IF(OR($C119="",$W119=""),"",ROUND($W119*$X119,0))</x:f>
      </x:c>
      <x:c r="Z119" s="57" t="str">
        <x:f>IF($A119="","",COUNTIF('Activity Log'!$C$6:$C$1005,$A119))</x:f>
      </x:c>
      <x:c r="AA119" s="68"/>
      <x:c r="AB119" s="63"/>
    </x:row>
    <x:row r="120">
      <x:c r="A120" s="54"/>
      <x:c r="B120" s="68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  <x:c r="N120" s="54"/>
      <x:c r="O120" s="57" t="str">
        <x:f>IF($C120="","",MAX(0,MIN(100,IFERROR(VLOOKUP($L120,'Lists &amp; Rules'!$P$5:$Q$8,2,FALSE),0)+IFERROR(VLOOKUP($N120,'Lists &amp; Rules'!$S$5:$T$7,2,FALSE),0)+IFERROR(VLOOKUP($M120,'Lists &amp; Rules'!$L$5:$N$13,3,FALSE),0)+IF($R120="Overdue",-10,IF($R120="Today",5,0))+MIN(15,$Z120*3))))</x:f>
      </x:c>
      <x:c r="P120" s="71" t="str">
        <x:f>IF($A120="","",IF(COUNTIF('Activity Log'!$C$6:$C$1005,$A120)=0,"",MAXIFS('Activity Log'!$B$6:$B$1005,'Activity Log'!$C$6:$C$1005,$A120)))</x:f>
      </x:c>
      <x:c r="Q120" s="71" t="str">
        <x:f>IF($A120="","",IF(COUNTIFS('Activity Log'!$C$6:$C$1005,$A120,'Activity Log'!$J$6:$J$1005,"No",'Activity Log'!$I$6:$I$1005,"&gt;0")=0,"",MINIFS('Activity Log'!$I$6:$I$1005,'Activity Log'!$C$6:$C$1005,$A120,'Activity Log'!$J$6:$J$1005,"No",'Activity Log'!$I$6:$I$1005,"&gt;0")))</x:f>
      </x:c>
      <x:c r="R120" s="57" t="str">
        <x:f>IF($C120="","",IF(OR($K120="Won",$K120="Lost",$K120="Disqualified"),"Closed",IF($Q120="","No date",IF(INT($Q120)&lt;TODAY(),"Overdue",IF(INT($Q120)=TODAY(),"Today",IF(INT($Q120)&lt;=TODAY()+7,"Next 7 days","Later"))))))</x:f>
      </x:c>
      <x:c r="S120" s="57" t="str">
        <x:f>IF(OR($C120="",$P120=""),"",TODAY()-INT($P120))</x:f>
      </x:c>
      <x:c r="T120" s="54"/>
      <x:c r="U120" s="54"/>
      <x:c r="V120" s="63"/>
      <x:c r="W120" s="74"/>
      <x:c r="X120" s="77" t="str">
        <x:f>IF($C120="","",IFERROR(VLOOKUP($M120,'Lists &amp; Rules'!$L$5:$N$13,2,FALSE),0))</x:f>
      </x:c>
      <x:c r="Y120" s="80" t="str">
        <x:f>IF(OR($C120="",$W120=""),"",ROUND($W120*$X120,0))</x:f>
      </x:c>
      <x:c r="Z120" s="57" t="str">
        <x:f>IF($A120="","",COUNTIF('Activity Log'!$C$6:$C$1005,$A120))</x:f>
      </x:c>
      <x:c r="AA120" s="68"/>
      <x:c r="AB120" s="63"/>
    </x:row>
    <x:row r="121">
      <x:c r="A121" s="54"/>
      <x:c r="B121" s="68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  <x:c r="N121" s="54"/>
      <x:c r="O121" s="57" t="str">
        <x:f>IF($C121="","",MAX(0,MIN(100,IFERROR(VLOOKUP($L121,'Lists &amp; Rules'!$P$5:$Q$8,2,FALSE),0)+IFERROR(VLOOKUP($N121,'Lists &amp; Rules'!$S$5:$T$7,2,FALSE),0)+IFERROR(VLOOKUP($M121,'Lists &amp; Rules'!$L$5:$N$13,3,FALSE),0)+IF($R121="Overdue",-10,IF($R121="Today",5,0))+MIN(15,$Z121*3))))</x:f>
      </x:c>
      <x:c r="P121" s="71" t="str">
        <x:f>IF($A121="","",IF(COUNTIF('Activity Log'!$C$6:$C$1005,$A121)=0,"",MAXIFS('Activity Log'!$B$6:$B$1005,'Activity Log'!$C$6:$C$1005,$A121)))</x:f>
      </x:c>
      <x:c r="Q121" s="71" t="str">
        <x:f>IF($A121="","",IF(COUNTIFS('Activity Log'!$C$6:$C$1005,$A121,'Activity Log'!$J$6:$J$1005,"No",'Activity Log'!$I$6:$I$1005,"&gt;0")=0,"",MINIFS('Activity Log'!$I$6:$I$1005,'Activity Log'!$C$6:$C$1005,$A121,'Activity Log'!$J$6:$J$1005,"No",'Activity Log'!$I$6:$I$1005,"&gt;0")))</x:f>
      </x:c>
      <x:c r="R121" s="57" t="str">
        <x:f>IF($C121="","",IF(OR($K121="Won",$K121="Lost",$K121="Disqualified"),"Closed",IF($Q121="","No date",IF(INT($Q121)&lt;TODAY(),"Overdue",IF(INT($Q121)=TODAY(),"Today",IF(INT($Q121)&lt;=TODAY()+7,"Next 7 days","Later"))))))</x:f>
      </x:c>
      <x:c r="S121" s="57" t="str">
        <x:f>IF(OR($C121="",$P121=""),"",TODAY()-INT($P121))</x:f>
      </x:c>
      <x:c r="T121" s="54"/>
      <x:c r="U121" s="54"/>
      <x:c r="V121" s="63"/>
      <x:c r="W121" s="74"/>
      <x:c r="X121" s="77" t="str">
        <x:f>IF($C121="","",IFERROR(VLOOKUP($M121,'Lists &amp; Rules'!$L$5:$N$13,2,FALSE),0))</x:f>
      </x:c>
      <x:c r="Y121" s="80" t="str">
        <x:f>IF(OR($C121="",$W121=""),"",ROUND($W121*$X121,0))</x:f>
      </x:c>
      <x:c r="Z121" s="57" t="str">
        <x:f>IF($A121="","",COUNTIF('Activity Log'!$C$6:$C$1005,$A121))</x:f>
      </x:c>
      <x:c r="AA121" s="68"/>
      <x:c r="AB121" s="63"/>
    </x:row>
    <x:row r="122">
      <x:c r="A122" s="54"/>
      <x:c r="B122" s="68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  <x:c r="N122" s="54"/>
      <x:c r="O122" s="57" t="str">
        <x:f>IF($C122="","",MAX(0,MIN(100,IFERROR(VLOOKUP($L122,'Lists &amp; Rules'!$P$5:$Q$8,2,FALSE),0)+IFERROR(VLOOKUP($N122,'Lists &amp; Rules'!$S$5:$T$7,2,FALSE),0)+IFERROR(VLOOKUP($M122,'Lists &amp; Rules'!$L$5:$N$13,3,FALSE),0)+IF($R122="Overdue",-10,IF($R122="Today",5,0))+MIN(15,$Z122*3))))</x:f>
      </x:c>
      <x:c r="P122" s="71" t="str">
        <x:f>IF($A122="","",IF(COUNTIF('Activity Log'!$C$6:$C$1005,$A122)=0,"",MAXIFS('Activity Log'!$B$6:$B$1005,'Activity Log'!$C$6:$C$1005,$A122)))</x:f>
      </x:c>
      <x:c r="Q122" s="71" t="str">
        <x:f>IF($A122="","",IF(COUNTIFS('Activity Log'!$C$6:$C$1005,$A122,'Activity Log'!$J$6:$J$1005,"No",'Activity Log'!$I$6:$I$1005,"&gt;0")=0,"",MINIFS('Activity Log'!$I$6:$I$1005,'Activity Log'!$C$6:$C$1005,$A122,'Activity Log'!$J$6:$J$1005,"No",'Activity Log'!$I$6:$I$1005,"&gt;0")))</x:f>
      </x:c>
      <x:c r="R122" s="57" t="str">
        <x:f>IF($C122="","",IF(OR($K122="Won",$K122="Lost",$K122="Disqualified"),"Closed",IF($Q122="","No date",IF(INT($Q122)&lt;TODAY(),"Overdue",IF(INT($Q122)=TODAY(),"Today",IF(INT($Q122)&lt;=TODAY()+7,"Next 7 days","Later"))))))</x:f>
      </x:c>
      <x:c r="S122" s="57" t="str">
        <x:f>IF(OR($C122="",$P122=""),"",TODAY()-INT($P122))</x:f>
      </x:c>
      <x:c r="T122" s="54"/>
      <x:c r="U122" s="54"/>
      <x:c r="V122" s="63"/>
      <x:c r="W122" s="74"/>
      <x:c r="X122" s="77" t="str">
        <x:f>IF($C122="","",IFERROR(VLOOKUP($M122,'Lists &amp; Rules'!$L$5:$N$13,2,FALSE),0))</x:f>
      </x:c>
      <x:c r="Y122" s="80" t="str">
        <x:f>IF(OR($C122="",$W122=""),"",ROUND($W122*$X122,0))</x:f>
      </x:c>
      <x:c r="Z122" s="57" t="str">
        <x:f>IF($A122="","",COUNTIF('Activity Log'!$C$6:$C$1005,$A122))</x:f>
      </x:c>
      <x:c r="AA122" s="68"/>
      <x:c r="AB122" s="63"/>
    </x:row>
    <x:row r="123">
      <x:c r="A123" s="54"/>
      <x:c r="B123" s="68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  <x:c r="N123" s="54"/>
      <x:c r="O123" s="57" t="str">
        <x:f>IF($C123="","",MAX(0,MIN(100,IFERROR(VLOOKUP($L123,'Lists &amp; Rules'!$P$5:$Q$8,2,FALSE),0)+IFERROR(VLOOKUP($N123,'Lists &amp; Rules'!$S$5:$T$7,2,FALSE),0)+IFERROR(VLOOKUP($M123,'Lists &amp; Rules'!$L$5:$N$13,3,FALSE),0)+IF($R123="Overdue",-10,IF($R123="Today",5,0))+MIN(15,$Z123*3))))</x:f>
      </x:c>
      <x:c r="P123" s="71" t="str">
        <x:f>IF($A123="","",IF(COUNTIF('Activity Log'!$C$6:$C$1005,$A123)=0,"",MAXIFS('Activity Log'!$B$6:$B$1005,'Activity Log'!$C$6:$C$1005,$A123)))</x:f>
      </x:c>
      <x:c r="Q123" s="71" t="str">
        <x:f>IF($A123="","",IF(COUNTIFS('Activity Log'!$C$6:$C$1005,$A123,'Activity Log'!$J$6:$J$1005,"No",'Activity Log'!$I$6:$I$1005,"&gt;0")=0,"",MINIFS('Activity Log'!$I$6:$I$1005,'Activity Log'!$C$6:$C$1005,$A123,'Activity Log'!$J$6:$J$1005,"No",'Activity Log'!$I$6:$I$1005,"&gt;0")))</x:f>
      </x:c>
      <x:c r="R123" s="57" t="str">
        <x:f>IF($C123="","",IF(OR($K123="Won",$K123="Lost",$K123="Disqualified"),"Closed",IF($Q123="","No date",IF(INT($Q123)&lt;TODAY(),"Overdue",IF(INT($Q123)=TODAY(),"Today",IF(INT($Q123)&lt;=TODAY()+7,"Next 7 days","Later"))))))</x:f>
      </x:c>
      <x:c r="S123" s="57" t="str">
        <x:f>IF(OR($C123="",$P123=""),"",TODAY()-INT($P123))</x:f>
      </x:c>
      <x:c r="T123" s="54"/>
      <x:c r="U123" s="54"/>
      <x:c r="V123" s="63"/>
      <x:c r="W123" s="74"/>
      <x:c r="X123" s="77" t="str">
        <x:f>IF($C123="","",IFERROR(VLOOKUP($M123,'Lists &amp; Rules'!$L$5:$N$13,2,FALSE),0))</x:f>
      </x:c>
      <x:c r="Y123" s="80" t="str">
        <x:f>IF(OR($C123="",$W123=""),"",ROUND($W123*$X123,0))</x:f>
      </x:c>
      <x:c r="Z123" s="57" t="str">
        <x:f>IF($A123="","",COUNTIF('Activity Log'!$C$6:$C$1005,$A123))</x:f>
      </x:c>
      <x:c r="AA123" s="68"/>
      <x:c r="AB123" s="63"/>
    </x:row>
    <x:row r="124">
      <x:c r="A124" s="54"/>
      <x:c r="B124" s="68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  <x:c r="N124" s="54"/>
      <x:c r="O124" s="57" t="str">
        <x:f>IF($C124="","",MAX(0,MIN(100,IFERROR(VLOOKUP($L124,'Lists &amp; Rules'!$P$5:$Q$8,2,FALSE),0)+IFERROR(VLOOKUP($N124,'Lists &amp; Rules'!$S$5:$T$7,2,FALSE),0)+IFERROR(VLOOKUP($M124,'Lists &amp; Rules'!$L$5:$N$13,3,FALSE),0)+IF($R124="Overdue",-10,IF($R124="Today",5,0))+MIN(15,$Z124*3))))</x:f>
      </x:c>
      <x:c r="P124" s="71" t="str">
        <x:f>IF($A124="","",IF(COUNTIF('Activity Log'!$C$6:$C$1005,$A124)=0,"",MAXIFS('Activity Log'!$B$6:$B$1005,'Activity Log'!$C$6:$C$1005,$A124)))</x:f>
      </x:c>
      <x:c r="Q124" s="71" t="str">
        <x:f>IF($A124="","",IF(COUNTIFS('Activity Log'!$C$6:$C$1005,$A124,'Activity Log'!$J$6:$J$1005,"No",'Activity Log'!$I$6:$I$1005,"&gt;0")=0,"",MINIFS('Activity Log'!$I$6:$I$1005,'Activity Log'!$C$6:$C$1005,$A124,'Activity Log'!$J$6:$J$1005,"No",'Activity Log'!$I$6:$I$1005,"&gt;0")))</x:f>
      </x:c>
      <x:c r="R124" s="57" t="str">
        <x:f>IF($C124="","",IF(OR($K124="Won",$K124="Lost",$K124="Disqualified"),"Closed",IF($Q124="","No date",IF(INT($Q124)&lt;TODAY(),"Overdue",IF(INT($Q124)=TODAY(),"Today",IF(INT($Q124)&lt;=TODAY()+7,"Next 7 days","Later"))))))</x:f>
      </x:c>
      <x:c r="S124" s="57" t="str">
        <x:f>IF(OR($C124="",$P124=""),"",TODAY()-INT($P124))</x:f>
      </x:c>
      <x:c r="T124" s="54"/>
      <x:c r="U124" s="54"/>
      <x:c r="V124" s="63"/>
      <x:c r="W124" s="74"/>
      <x:c r="X124" s="77" t="str">
        <x:f>IF($C124="","",IFERROR(VLOOKUP($M124,'Lists &amp; Rules'!$L$5:$N$13,2,FALSE),0))</x:f>
      </x:c>
      <x:c r="Y124" s="80" t="str">
        <x:f>IF(OR($C124="",$W124=""),"",ROUND($W124*$X124,0))</x:f>
      </x:c>
      <x:c r="Z124" s="57" t="str">
        <x:f>IF($A124="","",COUNTIF('Activity Log'!$C$6:$C$1005,$A124))</x:f>
      </x:c>
      <x:c r="AA124" s="68"/>
      <x:c r="AB124" s="63"/>
    </x:row>
    <x:row r="125">
      <x:c r="A125" s="54"/>
      <x:c r="B125" s="68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  <x:c r="N125" s="54"/>
      <x:c r="O125" s="57" t="str">
        <x:f>IF($C125="","",MAX(0,MIN(100,IFERROR(VLOOKUP($L125,'Lists &amp; Rules'!$P$5:$Q$8,2,FALSE),0)+IFERROR(VLOOKUP($N125,'Lists &amp; Rules'!$S$5:$T$7,2,FALSE),0)+IFERROR(VLOOKUP($M125,'Lists &amp; Rules'!$L$5:$N$13,3,FALSE),0)+IF($R125="Overdue",-10,IF($R125="Today",5,0))+MIN(15,$Z125*3))))</x:f>
      </x:c>
      <x:c r="P125" s="71" t="str">
        <x:f>IF($A125="","",IF(COUNTIF('Activity Log'!$C$6:$C$1005,$A125)=0,"",MAXIFS('Activity Log'!$B$6:$B$1005,'Activity Log'!$C$6:$C$1005,$A125)))</x:f>
      </x:c>
      <x:c r="Q125" s="71" t="str">
        <x:f>IF($A125="","",IF(COUNTIFS('Activity Log'!$C$6:$C$1005,$A125,'Activity Log'!$J$6:$J$1005,"No",'Activity Log'!$I$6:$I$1005,"&gt;0")=0,"",MINIFS('Activity Log'!$I$6:$I$1005,'Activity Log'!$C$6:$C$1005,$A125,'Activity Log'!$J$6:$J$1005,"No",'Activity Log'!$I$6:$I$1005,"&gt;0")))</x:f>
      </x:c>
      <x:c r="R125" s="57" t="str">
        <x:f>IF($C125="","",IF(OR($K125="Won",$K125="Lost",$K125="Disqualified"),"Closed",IF($Q125="","No date",IF(INT($Q125)&lt;TODAY(),"Overdue",IF(INT($Q125)=TODAY(),"Today",IF(INT($Q125)&lt;=TODAY()+7,"Next 7 days","Later"))))))</x:f>
      </x:c>
      <x:c r="S125" s="57" t="str">
        <x:f>IF(OR($C125="",$P125=""),"",TODAY()-INT($P125))</x:f>
      </x:c>
      <x:c r="T125" s="54"/>
      <x:c r="U125" s="54"/>
      <x:c r="V125" s="63"/>
      <x:c r="W125" s="74"/>
      <x:c r="X125" s="77" t="str">
        <x:f>IF($C125="","",IFERROR(VLOOKUP($M125,'Lists &amp; Rules'!$L$5:$N$13,2,FALSE),0))</x:f>
      </x:c>
      <x:c r="Y125" s="80" t="str">
        <x:f>IF(OR($C125="",$W125=""),"",ROUND($W125*$X125,0))</x:f>
      </x:c>
      <x:c r="Z125" s="57" t="str">
        <x:f>IF($A125="","",COUNTIF('Activity Log'!$C$6:$C$1005,$A125))</x:f>
      </x:c>
      <x:c r="AA125" s="68"/>
      <x:c r="AB125" s="63"/>
    </x:row>
    <x:row r="126">
      <x:c r="A126" s="54"/>
      <x:c r="B126" s="68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  <x:c r="N126" s="54"/>
      <x:c r="O126" s="57" t="str">
        <x:f>IF($C126="","",MAX(0,MIN(100,IFERROR(VLOOKUP($L126,'Lists &amp; Rules'!$P$5:$Q$8,2,FALSE),0)+IFERROR(VLOOKUP($N126,'Lists &amp; Rules'!$S$5:$T$7,2,FALSE),0)+IFERROR(VLOOKUP($M126,'Lists &amp; Rules'!$L$5:$N$13,3,FALSE),0)+IF($R126="Overdue",-10,IF($R126="Today",5,0))+MIN(15,$Z126*3))))</x:f>
      </x:c>
      <x:c r="P126" s="71" t="str">
        <x:f>IF($A126="","",IF(COUNTIF('Activity Log'!$C$6:$C$1005,$A126)=0,"",MAXIFS('Activity Log'!$B$6:$B$1005,'Activity Log'!$C$6:$C$1005,$A126)))</x:f>
      </x:c>
      <x:c r="Q126" s="71" t="str">
        <x:f>IF($A126="","",IF(COUNTIFS('Activity Log'!$C$6:$C$1005,$A126,'Activity Log'!$J$6:$J$1005,"No",'Activity Log'!$I$6:$I$1005,"&gt;0")=0,"",MINIFS('Activity Log'!$I$6:$I$1005,'Activity Log'!$C$6:$C$1005,$A126,'Activity Log'!$J$6:$J$1005,"No",'Activity Log'!$I$6:$I$1005,"&gt;0")))</x:f>
      </x:c>
      <x:c r="R126" s="57" t="str">
        <x:f>IF($C126="","",IF(OR($K126="Won",$K126="Lost",$K126="Disqualified"),"Closed",IF($Q126="","No date",IF(INT($Q126)&lt;TODAY(),"Overdue",IF(INT($Q126)=TODAY(),"Today",IF(INT($Q126)&lt;=TODAY()+7,"Next 7 days","Later"))))))</x:f>
      </x:c>
      <x:c r="S126" s="57" t="str">
        <x:f>IF(OR($C126="",$P126=""),"",TODAY()-INT($P126))</x:f>
      </x:c>
      <x:c r="T126" s="54"/>
      <x:c r="U126" s="54"/>
      <x:c r="V126" s="63"/>
      <x:c r="W126" s="74"/>
      <x:c r="X126" s="77" t="str">
        <x:f>IF($C126="","",IFERROR(VLOOKUP($M126,'Lists &amp; Rules'!$L$5:$N$13,2,FALSE),0))</x:f>
      </x:c>
      <x:c r="Y126" s="80" t="str">
        <x:f>IF(OR($C126="",$W126=""),"",ROUND($W126*$X126,0))</x:f>
      </x:c>
      <x:c r="Z126" s="57" t="str">
        <x:f>IF($A126="","",COUNTIF('Activity Log'!$C$6:$C$1005,$A126))</x:f>
      </x:c>
      <x:c r="AA126" s="68"/>
      <x:c r="AB126" s="63"/>
    </x:row>
    <x:row r="127">
      <x:c r="A127" s="54"/>
      <x:c r="B127" s="68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  <x:c r="N127" s="54"/>
      <x:c r="O127" s="57" t="str">
        <x:f>IF($C127="","",MAX(0,MIN(100,IFERROR(VLOOKUP($L127,'Lists &amp; Rules'!$P$5:$Q$8,2,FALSE),0)+IFERROR(VLOOKUP($N127,'Lists &amp; Rules'!$S$5:$T$7,2,FALSE),0)+IFERROR(VLOOKUP($M127,'Lists &amp; Rules'!$L$5:$N$13,3,FALSE),0)+IF($R127="Overdue",-10,IF($R127="Today",5,0))+MIN(15,$Z127*3))))</x:f>
      </x:c>
      <x:c r="P127" s="71" t="str">
        <x:f>IF($A127="","",IF(COUNTIF('Activity Log'!$C$6:$C$1005,$A127)=0,"",MAXIFS('Activity Log'!$B$6:$B$1005,'Activity Log'!$C$6:$C$1005,$A127)))</x:f>
      </x:c>
      <x:c r="Q127" s="71" t="str">
        <x:f>IF($A127="","",IF(COUNTIFS('Activity Log'!$C$6:$C$1005,$A127,'Activity Log'!$J$6:$J$1005,"No",'Activity Log'!$I$6:$I$1005,"&gt;0")=0,"",MINIFS('Activity Log'!$I$6:$I$1005,'Activity Log'!$C$6:$C$1005,$A127,'Activity Log'!$J$6:$J$1005,"No",'Activity Log'!$I$6:$I$1005,"&gt;0")))</x:f>
      </x:c>
      <x:c r="R127" s="57" t="str">
        <x:f>IF($C127="","",IF(OR($K127="Won",$K127="Lost",$K127="Disqualified"),"Closed",IF($Q127="","No date",IF(INT($Q127)&lt;TODAY(),"Overdue",IF(INT($Q127)=TODAY(),"Today",IF(INT($Q127)&lt;=TODAY()+7,"Next 7 days","Later"))))))</x:f>
      </x:c>
      <x:c r="S127" s="57" t="str">
        <x:f>IF(OR($C127="",$P127=""),"",TODAY()-INT($P127))</x:f>
      </x:c>
      <x:c r="T127" s="54"/>
      <x:c r="U127" s="54"/>
      <x:c r="V127" s="63"/>
      <x:c r="W127" s="74"/>
      <x:c r="X127" s="77" t="str">
        <x:f>IF($C127="","",IFERROR(VLOOKUP($M127,'Lists &amp; Rules'!$L$5:$N$13,2,FALSE),0))</x:f>
      </x:c>
      <x:c r="Y127" s="80" t="str">
        <x:f>IF(OR($C127="",$W127=""),"",ROUND($W127*$X127,0))</x:f>
      </x:c>
      <x:c r="Z127" s="57" t="str">
        <x:f>IF($A127="","",COUNTIF('Activity Log'!$C$6:$C$1005,$A127))</x:f>
      </x:c>
      <x:c r="AA127" s="68"/>
      <x:c r="AB127" s="63"/>
    </x:row>
    <x:row r="128">
      <x:c r="A128" s="54"/>
      <x:c r="B128" s="68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  <x:c r="N128" s="54"/>
      <x:c r="O128" s="57" t="str">
        <x:f>IF($C128="","",MAX(0,MIN(100,IFERROR(VLOOKUP($L128,'Lists &amp; Rules'!$P$5:$Q$8,2,FALSE),0)+IFERROR(VLOOKUP($N128,'Lists &amp; Rules'!$S$5:$T$7,2,FALSE),0)+IFERROR(VLOOKUP($M128,'Lists &amp; Rules'!$L$5:$N$13,3,FALSE),0)+IF($R128="Overdue",-10,IF($R128="Today",5,0))+MIN(15,$Z128*3))))</x:f>
      </x:c>
      <x:c r="P128" s="71" t="str">
        <x:f>IF($A128="","",IF(COUNTIF('Activity Log'!$C$6:$C$1005,$A128)=0,"",MAXIFS('Activity Log'!$B$6:$B$1005,'Activity Log'!$C$6:$C$1005,$A128)))</x:f>
      </x:c>
      <x:c r="Q128" s="71" t="str">
        <x:f>IF($A128="","",IF(COUNTIFS('Activity Log'!$C$6:$C$1005,$A128,'Activity Log'!$J$6:$J$1005,"No",'Activity Log'!$I$6:$I$1005,"&gt;0")=0,"",MINIFS('Activity Log'!$I$6:$I$1005,'Activity Log'!$C$6:$C$1005,$A128,'Activity Log'!$J$6:$J$1005,"No",'Activity Log'!$I$6:$I$1005,"&gt;0")))</x:f>
      </x:c>
      <x:c r="R128" s="57" t="str">
        <x:f>IF($C128="","",IF(OR($K128="Won",$K128="Lost",$K128="Disqualified"),"Closed",IF($Q128="","No date",IF(INT($Q128)&lt;TODAY(),"Overdue",IF(INT($Q128)=TODAY(),"Today",IF(INT($Q128)&lt;=TODAY()+7,"Next 7 days","Later"))))))</x:f>
      </x:c>
      <x:c r="S128" s="57" t="str">
        <x:f>IF(OR($C128="",$P128=""),"",TODAY()-INT($P128))</x:f>
      </x:c>
      <x:c r="T128" s="54"/>
      <x:c r="U128" s="54"/>
      <x:c r="V128" s="63"/>
      <x:c r="W128" s="74"/>
      <x:c r="X128" s="77" t="str">
        <x:f>IF($C128="","",IFERROR(VLOOKUP($M128,'Lists &amp; Rules'!$L$5:$N$13,2,FALSE),0))</x:f>
      </x:c>
      <x:c r="Y128" s="80" t="str">
        <x:f>IF(OR($C128="",$W128=""),"",ROUND($W128*$X128,0))</x:f>
      </x:c>
      <x:c r="Z128" s="57" t="str">
        <x:f>IF($A128="","",COUNTIF('Activity Log'!$C$6:$C$1005,$A128))</x:f>
      </x:c>
      <x:c r="AA128" s="68"/>
      <x:c r="AB128" s="63"/>
    </x:row>
    <x:row r="129">
      <x:c r="A129" s="54"/>
      <x:c r="B129" s="68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  <x:c r="N129" s="54"/>
      <x:c r="O129" s="57" t="str">
        <x:f>IF($C129="","",MAX(0,MIN(100,IFERROR(VLOOKUP($L129,'Lists &amp; Rules'!$P$5:$Q$8,2,FALSE),0)+IFERROR(VLOOKUP($N129,'Lists &amp; Rules'!$S$5:$T$7,2,FALSE),0)+IFERROR(VLOOKUP($M129,'Lists &amp; Rules'!$L$5:$N$13,3,FALSE),0)+IF($R129="Overdue",-10,IF($R129="Today",5,0))+MIN(15,$Z129*3))))</x:f>
      </x:c>
      <x:c r="P129" s="71" t="str">
        <x:f>IF($A129="","",IF(COUNTIF('Activity Log'!$C$6:$C$1005,$A129)=0,"",MAXIFS('Activity Log'!$B$6:$B$1005,'Activity Log'!$C$6:$C$1005,$A129)))</x:f>
      </x:c>
      <x:c r="Q129" s="71" t="str">
        <x:f>IF($A129="","",IF(COUNTIFS('Activity Log'!$C$6:$C$1005,$A129,'Activity Log'!$J$6:$J$1005,"No",'Activity Log'!$I$6:$I$1005,"&gt;0")=0,"",MINIFS('Activity Log'!$I$6:$I$1005,'Activity Log'!$C$6:$C$1005,$A129,'Activity Log'!$J$6:$J$1005,"No",'Activity Log'!$I$6:$I$1005,"&gt;0")))</x:f>
      </x:c>
      <x:c r="R129" s="57" t="str">
        <x:f>IF($C129="","",IF(OR($K129="Won",$K129="Lost",$K129="Disqualified"),"Closed",IF($Q129="","No date",IF(INT($Q129)&lt;TODAY(),"Overdue",IF(INT($Q129)=TODAY(),"Today",IF(INT($Q129)&lt;=TODAY()+7,"Next 7 days","Later"))))))</x:f>
      </x:c>
      <x:c r="S129" s="57" t="str">
        <x:f>IF(OR($C129="",$P129=""),"",TODAY()-INT($P129))</x:f>
      </x:c>
      <x:c r="T129" s="54"/>
      <x:c r="U129" s="54"/>
      <x:c r="V129" s="63"/>
      <x:c r="W129" s="74"/>
      <x:c r="X129" s="77" t="str">
        <x:f>IF($C129="","",IFERROR(VLOOKUP($M129,'Lists &amp; Rules'!$L$5:$N$13,2,FALSE),0))</x:f>
      </x:c>
      <x:c r="Y129" s="80" t="str">
        <x:f>IF(OR($C129="",$W129=""),"",ROUND($W129*$X129,0))</x:f>
      </x:c>
      <x:c r="Z129" s="57" t="str">
        <x:f>IF($A129="","",COUNTIF('Activity Log'!$C$6:$C$1005,$A129))</x:f>
      </x:c>
      <x:c r="AA129" s="68"/>
      <x:c r="AB129" s="63"/>
    </x:row>
    <x:row r="130">
      <x:c r="A130" s="54"/>
      <x:c r="B130" s="68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  <x:c r="N130" s="54"/>
      <x:c r="O130" s="57" t="str">
        <x:f>IF($C130="","",MAX(0,MIN(100,IFERROR(VLOOKUP($L130,'Lists &amp; Rules'!$P$5:$Q$8,2,FALSE),0)+IFERROR(VLOOKUP($N130,'Lists &amp; Rules'!$S$5:$T$7,2,FALSE),0)+IFERROR(VLOOKUP($M130,'Lists &amp; Rules'!$L$5:$N$13,3,FALSE),0)+IF($R130="Overdue",-10,IF($R130="Today",5,0))+MIN(15,$Z130*3))))</x:f>
      </x:c>
      <x:c r="P130" s="71" t="str">
        <x:f>IF($A130="","",IF(COUNTIF('Activity Log'!$C$6:$C$1005,$A130)=0,"",MAXIFS('Activity Log'!$B$6:$B$1005,'Activity Log'!$C$6:$C$1005,$A130)))</x:f>
      </x:c>
      <x:c r="Q130" s="71" t="str">
        <x:f>IF($A130="","",IF(COUNTIFS('Activity Log'!$C$6:$C$1005,$A130,'Activity Log'!$J$6:$J$1005,"No",'Activity Log'!$I$6:$I$1005,"&gt;0")=0,"",MINIFS('Activity Log'!$I$6:$I$1005,'Activity Log'!$C$6:$C$1005,$A130,'Activity Log'!$J$6:$J$1005,"No",'Activity Log'!$I$6:$I$1005,"&gt;0")))</x:f>
      </x:c>
      <x:c r="R130" s="57" t="str">
        <x:f>IF($C130="","",IF(OR($K130="Won",$K130="Lost",$K130="Disqualified"),"Closed",IF($Q130="","No date",IF(INT($Q130)&lt;TODAY(),"Overdue",IF(INT($Q130)=TODAY(),"Today",IF(INT($Q130)&lt;=TODAY()+7,"Next 7 days","Later"))))))</x:f>
      </x:c>
      <x:c r="S130" s="57" t="str">
        <x:f>IF(OR($C130="",$P130=""),"",TODAY()-INT($P130))</x:f>
      </x:c>
      <x:c r="T130" s="54"/>
      <x:c r="U130" s="54"/>
      <x:c r="V130" s="63"/>
      <x:c r="W130" s="74"/>
      <x:c r="X130" s="77" t="str">
        <x:f>IF($C130="","",IFERROR(VLOOKUP($M130,'Lists &amp; Rules'!$L$5:$N$13,2,FALSE),0))</x:f>
      </x:c>
      <x:c r="Y130" s="80" t="str">
        <x:f>IF(OR($C130="",$W130=""),"",ROUND($W130*$X130,0))</x:f>
      </x:c>
      <x:c r="Z130" s="57" t="str">
        <x:f>IF($A130="","",COUNTIF('Activity Log'!$C$6:$C$1005,$A130))</x:f>
      </x:c>
      <x:c r="AA130" s="68"/>
      <x:c r="AB130" s="63"/>
    </x:row>
    <x:row r="131">
      <x:c r="A131" s="54"/>
      <x:c r="B131" s="68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  <x:c r="N131" s="54"/>
      <x:c r="O131" s="57" t="str">
        <x:f>IF($C131="","",MAX(0,MIN(100,IFERROR(VLOOKUP($L131,'Lists &amp; Rules'!$P$5:$Q$8,2,FALSE),0)+IFERROR(VLOOKUP($N131,'Lists &amp; Rules'!$S$5:$T$7,2,FALSE),0)+IFERROR(VLOOKUP($M131,'Lists &amp; Rules'!$L$5:$N$13,3,FALSE),0)+IF($R131="Overdue",-10,IF($R131="Today",5,0))+MIN(15,$Z131*3))))</x:f>
      </x:c>
      <x:c r="P131" s="71" t="str">
        <x:f>IF($A131="","",IF(COUNTIF('Activity Log'!$C$6:$C$1005,$A131)=0,"",MAXIFS('Activity Log'!$B$6:$B$1005,'Activity Log'!$C$6:$C$1005,$A131)))</x:f>
      </x:c>
      <x:c r="Q131" s="71" t="str">
        <x:f>IF($A131="","",IF(COUNTIFS('Activity Log'!$C$6:$C$1005,$A131,'Activity Log'!$J$6:$J$1005,"No",'Activity Log'!$I$6:$I$1005,"&gt;0")=0,"",MINIFS('Activity Log'!$I$6:$I$1005,'Activity Log'!$C$6:$C$1005,$A131,'Activity Log'!$J$6:$J$1005,"No",'Activity Log'!$I$6:$I$1005,"&gt;0")))</x:f>
      </x:c>
      <x:c r="R131" s="57" t="str">
        <x:f>IF($C131="","",IF(OR($K131="Won",$K131="Lost",$K131="Disqualified"),"Closed",IF($Q131="","No date",IF(INT($Q131)&lt;TODAY(),"Overdue",IF(INT($Q131)=TODAY(),"Today",IF(INT($Q131)&lt;=TODAY()+7,"Next 7 days","Later"))))))</x:f>
      </x:c>
      <x:c r="S131" s="57" t="str">
        <x:f>IF(OR($C131="",$P131=""),"",TODAY()-INT($P131))</x:f>
      </x:c>
      <x:c r="T131" s="54"/>
      <x:c r="U131" s="54"/>
      <x:c r="V131" s="63"/>
      <x:c r="W131" s="74"/>
      <x:c r="X131" s="77" t="str">
        <x:f>IF($C131="","",IFERROR(VLOOKUP($M131,'Lists &amp; Rules'!$L$5:$N$13,2,FALSE),0))</x:f>
      </x:c>
      <x:c r="Y131" s="80" t="str">
        <x:f>IF(OR($C131="",$W131=""),"",ROUND($W131*$X131,0))</x:f>
      </x:c>
      <x:c r="Z131" s="57" t="str">
        <x:f>IF($A131="","",COUNTIF('Activity Log'!$C$6:$C$1005,$A131))</x:f>
      </x:c>
      <x:c r="AA131" s="68"/>
      <x:c r="AB131" s="63"/>
    </x:row>
    <x:row r="132">
      <x:c r="A132" s="54"/>
      <x:c r="B132" s="68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  <x:c r="N132" s="54"/>
      <x:c r="O132" s="57" t="str">
        <x:f>IF($C132="","",MAX(0,MIN(100,IFERROR(VLOOKUP($L132,'Lists &amp; Rules'!$P$5:$Q$8,2,FALSE),0)+IFERROR(VLOOKUP($N132,'Lists &amp; Rules'!$S$5:$T$7,2,FALSE),0)+IFERROR(VLOOKUP($M132,'Lists &amp; Rules'!$L$5:$N$13,3,FALSE),0)+IF($R132="Overdue",-10,IF($R132="Today",5,0))+MIN(15,$Z132*3))))</x:f>
      </x:c>
      <x:c r="P132" s="71" t="str">
        <x:f>IF($A132="","",IF(COUNTIF('Activity Log'!$C$6:$C$1005,$A132)=0,"",MAXIFS('Activity Log'!$B$6:$B$1005,'Activity Log'!$C$6:$C$1005,$A132)))</x:f>
      </x:c>
      <x:c r="Q132" s="71" t="str">
        <x:f>IF($A132="","",IF(COUNTIFS('Activity Log'!$C$6:$C$1005,$A132,'Activity Log'!$J$6:$J$1005,"No",'Activity Log'!$I$6:$I$1005,"&gt;0")=0,"",MINIFS('Activity Log'!$I$6:$I$1005,'Activity Log'!$C$6:$C$1005,$A132,'Activity Log'!$J$6:$J$1005,"No",'Activity Log'!$I$6:$I$1005,"&gt;0")))</x:f>
      </x:c>
      <x:c r="R132" s="57" t="str">
        <x:f>IF($C132="","",IF(OR($K132="Won",$K132="Lost",$K132="Disqualified"),"Closed",IF($Q132="","No date",IF(INT($Q132)&lt;TODAY(),"Overdue",IF(INT($Q132)=TODAY(),"Today",IF(INT($Q132)&lt;=TODAY()+7,"Next 7 days","Later"))))))</x:f>
      </x:c>
      <x:c r="S132" s="57" t="str">
        <x:f>IF(OR($C132="",$P132=""),"",TODAY()-INT($P132))</x:f>
      </x:c>
      <x:c r="T132" s="54"/>
      <x:c r="U132" s="54"/>
      <x:c r="V132" s="63"/>
      <x:c r="W132" s="74"/>
      <x:c r="X132" s="77" t="str">
        <x:f>IF($C132="","",IFERROR(VLOOKUP($M132,'Lists &amp; Rules'!$L$5:$N$13,2,FALSE),0))</x:f>
      </x:c>
      <x:c r="Y132" s="80" t="str">
        <x:f>IF(OR($C132="",$W132=""),"",ROUND($W132*$X132,0))</x:f>
      </x:c>
      <x:c r="Z132" s="57" t="str">
        <x:f>IF($A132="","",COUNTIF('Activity Log'!$C$6:$C$1005,$A132))</x:f>
      </x:c>
      <x:c r="AA132" s="68"/>
      <x:c r="AB132" s="63"/>
    </x:row>
    <x:row r="133">
      <x:c r="A133" s="54"/>
      <x:c r="B133" s="68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  <x:c r="N133" s="54"/>
      <x:c r="O133" s="57" t="str">
        <x:f>IF($C133="","",MAX(0,MIN(100,IFERROR(VLOOKUP($L133,'Lists &amp; Rules'!$P$5:$Q$8,2,FALSE),0)+IFERROR(VLOOKUP($N133,'Lists &amp; Rules'!$S$5:$T$7,2,FALSE),0)+IFERROR(VLOOKUP($M133,'Lists &amp; Rules'!$L$5:$N$13,3,FALSE),0)+IF($R133="Overdue",-10,IF($R133="Today",5,0))+MIN(15,$Z133*3))))</x:f>
      </x:c>
      <x:c r="P133" s="71" t="str">
        <x:f>IF($A133="","",IF(COUNTIF('Activity Log'!$C$6:$C$1005,$A133)=0,"",MAXIFS('Activity Log'!$B$6:$B$1005,'Activity Log'!$C$6:$C$1005,$A133)))</x:f>
      </x:c>
      <x:c r="Q133" s="71" t="str">
        <x:f>IF($A133="","",IF(COUNTIFS('Activity Log'!$C$6:$C$1005,$A133,'Activity Log'!$J$6:$J$1005,"No",'Activity Log'!$I$6:$I$1005,"&gt;0")=0,"",MINIFS('Activity Log'!$I$6:$I$1005,'Activity Log'!$C$6:$C$1005,$A133,'Activity Log'!$J$6:$J$1005,"No",'Activity Log'!$I$6:$I$1005,"&gt;0")))</x:f>
      </x:c>
      <x:c r="R133" s="57" t="str">
        <x:f>IF($C133="","",IF(OR($K133="Won",$K133="Lost",$K133="Disqualified"),"Closed",IF($Q133="","No date",IF(INT($Q133)&lt;TODAY(),"Overdue",IF(INT($Q133)=TODAY(),"Today",IF(INT($Q133)&lt;=TODAY()+7,"Next 7 days","Later"))))))</x:f>
      </x:c>
      <x:c r="S133" s="57" t="str">
        <x:f>IF(OR($C133="",$P133=""),"",TODAY()-INT($P133))</x:f>
      </x:c>
      <x:c r="T133" s="54"/>
      <x:c r="U133" s="54"/>
      <x:c r="V133" s="63"/>
      <x:c r="W133" s="74"/>
      <x:c r="X133" s="77" t="str">
        <x:f>IF($C133="","",IFERROR(VLOOKUP($M133,'Lists &amp; Rules'!$L$5:$N$13,2,FALSE),0))</x:f>
      </x:c>
      <x:c r="Y133" s="80" t="str">
        <x:f>IF(OR($C133="",$W133=""),"",ROUND($W133*$X133,0))</x:f>
      </x:c>
      <x:c r="Z133" s="57" t="str">
        <x:f>IF($A133="","",COUNTIF('Activity Log'!$C$6:$C$1005,$A133))</x:f>
      </x:c>
      <x:c r="AA133" s="68"/>
      <x:c r="AB133" s="63"/>
    </x:row>
    <x:row r="134">
      <x:c r="A134" s="54"/>
      <x:c r="B134" s="68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  <x:c r="N134" s="54"/>
      <x:c r="O134" s="57" t="str">
        <x:f>IF($C134="","",MAX(0,MIN(100,IFERROR(VLOOKUP($L134,'Lists &amp; Rules'!$P$5:$Q$8,2,FALSE),0)+IFERROR(VLOOKUP($N134,'Lists &amp; Rules'!$S$5:$T$7,2,FALSE),0)+IFERROR(VLOOKUP($M134,'Lists &amp; Rules'!$L$5:$N$13,3,FALSE),0)+IF($R134="Overdue",-10,IF($R134="Today",5,0))+MIN(15,$Z134*3))))</x:f>
      </x:c>
      <x:c r="P134" s="71" t="str">
        <x:f>IF($A134="","",IF(COUNTIF('Activity Log'!$C$6:$C$1005,$A134)=0,"",MAXIFS('Activity Log'!$B$6:$B$1005,'Activity Log'!$C$6:$C$1005,$A134)))</x:f>
      </x:c>
      <x:c r="Q134" s="71" t="str">
        <x:f>IF($A134="","",IF(COUNTIFS('Activity Log'!$C$6:$C$1005,$A134,'Activity Log'!$J$6:$J$1005,"No",'Activity Log'!$I$6:$I$1005,"&gt;0")=0,"",MINIFS('Activity Log'!$I$6:$I$1005,'Activity Log'!$C$6:$C$1005,$A134,'Activity Log'!$J$6:$J$1005,"No",'Activity Log'!$I$6:$I$1005,"&gt;0")))</x:f>
      </x:c>
      <x:c r="R134" s="57" t="str">
        <x:f>IF($C134="","",IF(OR($K134="Won",$K134="Lost",$K134="Disqualified"),"Closed",IF($Q134="","No date",IF(INT($Q134)&lt;TODAY(),"Overdue",IF(INT($Q134)=TODAY(),"Today",IF(INT($Q134)&lt;=TODAY()+7,"Next 7 days","Later"))))))</x:f>
      </x:c>
      <x:c r="S134" s="57" t="str">
        <x:f>IF(OR($C134="",$P134=""),"",TODAY()-INT($P134))</x:f>
      </x:c>
      <x:c r="T134" s="54"/>
      <x:c r="U134" s="54"/>
      <x:c r="V134" s="63"/>
      <x:c r="W134" s="74"/>
      <x:c r="X134" s="77" t="str">
        <x:f>IF($C134="","",IFERROR(VLOOKUP($M134,'Lists &amp; Rules'!$L$5:$N$13,2,FALSE),0))</x:f>
      </x:c>
      <x:c r="Y134" s="80" t="str">
        <x:f>IF(OR($C134="",$W134=""),"",ROUND($W134*$X134,0))</x:f>
      </x:c>
      <x:c r="Z134" s="57" t="str">
        <x:f>IF($A134="","",COUNTIF('Activity Log'!$C$6:$C$1005,$A134))</x:f>
      </x:c>
      <x:c r="AA134" s="68"/>
      <x:c r="AB134" s="63"/>
    </x:row>
    <x:row r="135">
      <x:c r="A135" s="54"/>
      <x:c r="B135" s="68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  <x:c r="N135" s="54"/>
      <x:c r="O135" s="57" t="str">
        <x:f>IF($C135="","",MAX(0,MIN(100,IFERROR(VLOOKUP($L135,'Lists &amp; Rules'!$P$5:$Q$8,2,FALSE),0)+IFERROR(VLOOKUP($N135,'Lists &amp; Rules'!$S$5:$T$7,2,FALSE),0)+IFERROR(VLOOKUP($M135,'Lists &amp; Rules'!$L$5:$N$13,3,FALSE),0)+IF($R135="Overdue",-10,IF($R135="Today",5,0))+MIN(15,$Z135*3))))</x:f>
      </x:c>
      <x:c r="P135" s="71" t="str">
        <x:f>IF($A135="","",IF(COUNTIF('Activity Log'!$C$6:$C$1005,$A135)=0,"",MAXIFS('Activity Log'!$B$6:$B$1005,'Activity Log'!$C$6:$C$1005,$A135)))</x:f>
      </x:c>
      <x:c r="Q135" s="71" t="str">
        <x:f>IF($A135="","",IF(COUNTIFS('Activity Log'!$C$6:$C$1005,$A135,'Activity Log'!$J$6:$J$1005,"No",'Activity Log'!$I$6:$I$1005,"&gt;0")=0,"",MINIFS('Activity Log'!$I$6:$I$1005,'Activity Log'!$C$6:$C$1005,$A135,'Activity Log'!$J$6:$J$1005,"No",'Activity Log'!$I$6:$I$1005,"&gt;0")))</x:f>
      </x:c>
      <x:c r="R135" s="57" t="str">
        <x:f>IF($C135="","",IF(OR($K135="Won",$K135="Lost",$K135="Disqualified"),"Closed",IF($Q135="","No date",IF(INT($Q135)&lt;TODAY(),"Overdue",IF(INT($Q135)=TODAY(),"Today",IF(INT($Q135)&lt;=TODAY()+7,"Next 7 days","Later"))))))</x:f>
      </x:c>
      <x:c r="S135" s="57" t="str">
        <x:f>IF(OR($C135="",$P135=""),"",TODAY()-INT($P135))</x:f>
      </x:c>
      <x:c r="T135" s="54"/>
      <x:c r="U135" s="54"/>
      <x:c r="V135" s="63"/>
      <x:c r="W135" s="74"/>
      <x:c r="X135" s="77" t="str">
        <x:f>IF($C135="","",IFERROR(VLOOKUP($M135,'Lists &amp; Rules'!$L$5:$N$13,2,FALSE),0))</x:f>
      </x:c>
      <x:c r="Y135" s="80" t="str">
        <x:f>IF(OR($C135="",$W135=""),"",ROUND($W135*$X135,0))</x:f>
      </x:c>
      <x:c r="Z135" s="57" t="str">
        <x:f>IF($A135="","",COUNTIF('Activity Log'!$C$6:$C$1005,$A135))</x:f>
      </x:c>
      <x:c r="AA135" s="68"/>
      <x:c r="AB135" s="63"/>
    </x:row>
    <x:row r="136">
      <x:c r="A136" s="54"/>
      <x:c r="B136" s="68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  <x:c r="N136" s="54"/>
      <x:c r="O136" s="57" t="str">
        <x:f>IF($C136="","",MAX(0,MIN(100,IFERROR(VLOOKUP($L136,'Lists &amp; Rules'!$P$5:$Q$8,2,FALSE),0)+IFERROR(VLOOKUP($N136,'Lists &amp; Rules'!$S$5:$T$7,2,FALSE),0)+IFERROR(VLOOKUP($M136,'Lists &amp; Rules'!$L$5:$N$13,3,FALSE),0)+IF($R136="Overdue",-10,IF($R136="Today",5,0))+MIN(15,$Z136*3))))</x:f>
      </x:c>
      <x:c r="P136" s="71" t="str">
        <x:f>IF($A136="","",IF(COUNTIF('Activity Log'!$C$6:$C$1005,$A136)=0,"",MAXIFS('Activity Log'!$B$6:$B$1005,'Activity Log'!$C$6:$C$1005,$A136)))</x:f>
      </x:c>
      <x:c r="Q136" s="71" t="str">
        <x:f>IF($A136="","",IF(COUNTIFS('Activity Log'!$C$6:$C$1005,$A136,'Activity Log'!$J$6:$J$1005,"No",'Activity Log'!$I$6:$I$1005,"&gt;0")=0,"",MINIFS('Activity Log'!$I$6:$I$1005,'Activity Log'!$C$6:$C$1005,$A136,'Activity Log'!$J$6:$J$1005,"No",'Activity Log'!$I$6:$I$1005,"&gt;0")))</x:f>
      </x:c>
      <x:c r="R136" s="57" t="str">
        <x:f>IF($C136="","",IF(OR($K136="Won",$K136="Lost",$K136="Disqualified"),"Closed",IF($Q136="","No date",IF(INT($Q136)&lt;TODAY(),"Overdue",IF(INT($Q136)=TODAY(),"Today",IF(INT($Q136)&lt;=TODAY()+7,"Next 7 days","Later"))))))</x:f>
      </x:c>
      <x:c r="S136" s="57" t="str">
        <x:f>IF(OR($C136="",$P136=""),"",TODAY()-INT($P136))</x:f>
      </x:c>
      <x:c r="T136" s="54"/>
      <x:c r="U136" s="54"/>
      <x:c r="V136" s="63"/>
      <x:c r="W136" s="74"/>
      <x:c r="X136" s="77" t="str">
        <x:f>IF($C136="","",IFERROR(VLOOKUP($M136,'Lists &amp; Rules'!$L$5:$N$13,2,FALSE),0))</x:f>
      </x:c>
      <x:c r="Y136" s="80" t="str">
        <x:f>IF(OR($C136="",$W136=""),"",ROUND($W136*$X136,0))</x:f>
      </x:c>
      <x:c r="Z136" s="57" t="str">
        <x:f>IF($A136="","",COUNTIF('Activity Log'!$C$6:$C$1005,$A136))</x:f>
      </x:c>
      <x:c r="AA136" s="68"/>
      <x:c r="AB136" s="63"/>
    </x:row>
    <x:row r="137">
      <x:c r="A137" s="54"/>
      <x:c r="B137" s="68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  <x:c r="N137" s="54"/>
      <x:c r="O137" s="57" t="str">
        <x:f>IF($C137="","",MAX(0,MIN(100,IFERROR(VLOOKUP($L137,'Lists &amp; Rules'!$P$5:$Q$8,2,FALSE),0)+IFERROR(VLOOKUP($N137,'Lists &amp; Rules'!$S$5:$T$7,2,FALSE),0)+IFERROR(VLOOKUP($M137,'Lists &amp; Rules'!$L$5:$N$13,3,FALSE),0)+IF($R137="Overdue",-10,IF($R137="Today",5,0))+MIN(15,$Z137*3))))</x:f>
      </x:c>
      <x:c r="P137" s="71" t="str">
        <x:f>IF($A137="","",IF(COUNTIF('Activity Log'!$C$6:$C$1005,$A137)=0,"",MAXIFS('Activity Log'!$B$6:$B$1005,'Activity Log'!$C$6:$C$1005,$A137)))</x:f>
      </x:c>
      <x:c r="Q137" s="71" t="str">
        <x:f>IF($A137="","",IF(COUNTIFS('Activity Log'!$C$6:$C$1005,$A137,'Activity Log'!$J$6:$J$1005,"No",'Activity Log'!$I$6:$I$1005,"&gt;0")=0,"",MINIFS('Activity Log'!$I$6:$I$1005,'Activity Log'!$C$6:$C$1005,$A137,'Activity Log'!$J$6:$J$1005,"No",'Activity Log'!$I$6:$I$1005,"&gt;0")))</x:f>
      </x:c>
      <x:c r="R137" s="57" t="str">
        <x:f>IF($C137="","",IF(OR($K137="Won",$K137="Lost",$K137="Disqualified"),"Closed",IF($Q137="","No date",IF(INT($Q137)&lt;TODAY(),"Overdue",IF(INT($Q137)=TODAY(),"Today",IF(INT($Q137)&lt;=TODAY()+7,"Next 7 days","Later"))))))</x:f>
      </x:c>
      <x:c r="S137" s="57" t="str">
        <x:f>IF(OR($C137="",$P137=""),"",TODAY()-INT($P137))</x:f>
      </x:c>
      <x:c r="T137" s="54"/>
      <x:c r="U137" s="54"/>
      <x:c r="V137" s="63"/>
      <x:c r="W137" s="74"/>
      <x:c r="X137" s="77" t="str">
        <x:f>IF($C137="","",IFERROR(VLOOKUP($M137,'Lists &amp; Rules'!$L$5:$N$13,2,FALSE),0))</x:f>
      </x:c>
      <x:c r="Y137" s="80" t="str">
        <x:f>IF(OR($C137="",$W137=""),"",ROUND($W137*$X137,0))</x:f>
      </x:c>
      <x:c r="Z137" s="57" t="str">
        <x:f>IF($A137="","",COUNTIF('Activity Log'!$C$6:$C$1005,$A137))</x:f>
      </x:c>
      <x:c r="AA137" s="68"/>
      <x:c r="AB137" s="63"/>
    </x:row>
    <x:row r="138">
      <x:c r="A138" s="54"/>
      <x:c r="B138" s="68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  <x:c r="N138" s="54"/>
      <x:c r="O138" s="57" t="str">
        <x:f>IF($C138="","",MAX(0,MIN(100,IFERROR(VLOOKUP($L138,'Lists &amp; Rules'!$P$5:$Q$8,2,FALSE),0)+IFERROR(VLOOKUP($N138,'Lists &amp; Rules'!$S$5:$T$7,2,FALSE),0)+IFERROR(VLOOKUP($M138,'Lists &amp; Rules'!$L$5:$N$13,3,FALSE),0)+IF($R138="Overdue",-10,IF($R138="Today",5,0))+MIN(15,$Z138*3))))</x:f>
      </x:c>
      <x:c r="P138" s="71" t="str">
        <x:f>IF($A138="","",IF(COUNTIF('Activity Log'!$C$6:$C$1005,$A138)=0,"",MAXIFS('Activity Log'!$B$6:$B$1005,'Activity Log'!$C$6:$C$1005,$A138)))</x:f>
      </x:c>
      <x:c r="Q138" s="71" t="str">
        <x:f>IF($A138="","",IF(COUNTIFS('Activity Log'!$C$6:$C$1005,$A138,'Activity Log'!$J$6:$J$1005,"No",'Activity Log'!$I$6:$I$1005,"&gt;0")=0,"",MINIFS('Activity Log'!$I$6:$I$1005,'Activity Log'!$C$6:$C$1005,$A138,'Activity Log'!$J$6:$J$1005,"No",'Activity Log'!$I$6:$I$1005,"&gt;0")))</x:f>
      </x:c>
      <x:c r="R138" s="57" t="str">
        <x:f>IF($C138="","",IF(OR($K138="Won",$K138="Lost",$K138="Disqualified"),"Closed",IF($Q138="","No date",IF(INT($Q138)&lt;TODAY(),"Overdue",IF(INT($Q138)=TODAY(),"Today",IF(INT($Q138)&lt;=TODAY()+7,"Next 7 days","Later"))))))</x:f>
      </x:c>
      <x:c r="S138" s="57" t="str">
        <x:f>IF(OR($C138="",$P138=""),"",TODAY()-INT($P138))</x:f>
      </x:c>
      <x:c r="T138" s="54"/>
      <x:c r="U138" s="54"/>
      <x:c r="V138" s="63"/>
      <x:c r="W138" s="74"/>
      <x:c r="X138" s="77" t="str">
        <x:f>IF($C138="","",IFERROR(VLOOKUP($M138,'Lists &amp; Rules'!$L$5:$N$13,2,FALSE),0))</x:f>
      </x:c>
      <x:c r="Y138" s="80" t="str">
        <x:f>IF(OR($C138="",$W138=""),"",ROUND($W138*$X138,0))</x:f>
      </x:c>
      <x:c r="Z138" s="57" t="str">
        <x:f>IF($A138="","",COUNTIF('Activity Log'!$C$6:$C$1005,$A138))</x:f>
      </x:c>
      <x:c r="AA138" s="68"/>
      <x:c r="AB138" s="63"/>
    </x:row>
    <x:row r="139">
      <x:c r="A139" s="54"/>
      <x:c r="B139" s="68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  <x:c r="N139" s="54"/>
      <x:c r="O139" s="57" t="str">
        <x:f>IF($C139="","",MAX(0,MIN(100,IFERROR(VLOOKUP($L139,'Lists &amp; Rules'!$P$5:$Q$8,2,FALSE),0)+IFERROR(VLOOKUP($N139,'Lists &amp; Rules'!$S$5:$T$7,2,FALSE),0)+IFERROR(VLOOKUP($M139,'Lists &amp; Rules'!$L$5:$N$13,3,FALSE),0)+IF($R139="Overdue",-10,IF($R139="Today",5,0))+MIN(15,$Z139*3))))</x:f>
      </x:c>
      <x:c r="P139" s="71" t="str">
        <x:f>IF($A139="","",IF(COUNTIF('Activity Log'!$C$6:$C$1005,$A139)=0,"",MAXIFS('Activity Log'!$B$6:$B$1005,'Activity Log'!$C$6:$C$1005,$A139)))</x:f>
      </x:c>
      <x:c r="Q139" s="71" t="str">
        <x:f>IF($A139="","",IF(COUNTIFS('Activity Log'!$C$6:$C$1005,$A139,'Activity Log'!$J$6:$J$1005,"No",'Activity Log'!$I$6:$I$1005,"&gt;0")=0,"",MINIFS('Activity Log'!$I$6:$I$1005,'Activity Log'!$C$6:$C$1005,$A139,'Activity Log'!$J$6:$J$1005,"No",'Activity Log'!$I$6:$I$1005,"&gt;0")))</x:f>
      </x:c>
      <x:c r="R139" s="57" t="str">
        <x:f>IF($C139="","",IF(OR($K139="Won",$K139="Lost",$K139="Disqualified"),"Closed",IF($Q139="","No date",IF(INT($Q139)&lt;TODAY(),"Overdue",IF(INT($Q139)=TODAY(),"Today",IF(INT($Q139)&lt;=TODAY()+7,"Next 7 days","Later"))))))</x:f>
      </x:c>
      <x:c r="S139" s="57" t="str">
        <x:f>IF(OR($C139="",$P139=""),"",TODAY()-INT($P139))</x:f>
      </x:c>
      <x:c r="T139" s="54"/>
      <x:c r="U139" s="54"/>
      <x:c r="V139" s="63"/>
      <x:c r="W139" s="74"/>
      <x:c r="X139" s="77" t="str">
        <x:f>IF($C139="","",IFERROR(VLOOKUP($M139,'Lists &amp; Rules'!$L$5:$N$13,2,FALSE),0))</x:f>
      </x:c>
      <x:c r="Y139" s="80" t="str">
        <x:f>IF(OR($C139="",$W139=""),"",ROUND($W139*$X139,0))</x:f>
      </x:c>
      <x:c r="Z139" s="57" t="str">
        <x:f>IF($A139="","",COUNTIF('Activity Log'!$C$6:$C$1005,$A139))</x:f>
      </x:c>
      <x:c r="AA139" s="68"/>
      <x:c r="AB139" s="63"/>
    </x:row>
    <x:row r="140">
      <x:c r="A140" s="54"/>
      <x:c r="B140" s="68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  <x:c r="N140" s="54"/>
      <x:c r="O140" s="57" t="str">
        <x:f>IF($C140="","",MAX(0,MIN(100,IFERROR(VLOOKUP($L140,'Lists &amp; Rules'!$P$5:$Q$8,2,FALSE),0)+IFERROR(VLOOKUP($N140,'Lists &amp; Rules'!$S$5:$T$7,2,FALSE),0)+IFERROR(VLOOKUP($M140,'Lists &amp; Rules'!$L$5:$N$13,3,FALSE),0)+IF($R140="Overdue",-10,IF($R140="Today",5,0))+MIN(15,$Z140*3))))</x:f>
      </x:c>
      <x:c r="P140" s="71" t="str">
        <x:f>IF($A140="","",IF(COUNTIF('Activity Log'!$C$6:$C$1005,$A140)=0,"",MAXIFS('Activity Log'!$B$6:$B$1005,'Activity Log'!$C$6:$C$1005,$A140)))</x:f>
      </x:c>
      <x:c r="Q140" s="71" t="str">
        <x:f>IF($A140="","",IF(COUNTIFS('Activity Log'!$C$6:$C$1005,$A140,'Activity Log'!$J$6:$J$1005,"No",'Activity Log'!$I$6:$I$1005,"&gt;0")=0,"",MINIFS('Activity Log'!$I$6:$I$1005,'Activity Log'!$C$6:$C$1005,$A140,'Activity Log'!$J$6:$J$1005,"No",'Activity Log'!$I$6:$I$1005,"&gt;0")))</x:f>
      </x:c>
      <x:c r="R140" s="57" t="str">
        <x:f>IF($C140="","",IF(OR($K140="Won",$K140="Lost",$K140="Disqualified"),"Closed",IF($Q140="","No date",IF(INT($Q140)&lt;TODAY(),"Overdue",IF(INT($Q140)=TODAY(),"Today",IF(INT($Q140)&lt;=TODAY()+7,"Next 7 days","Later"))))))</x:f>
      </x:c>
      <x:c r="S140" s="57" t="str">
        <x:f>IF(OR($C140="",$P140=""),"",TODAY()-INT($P140))</x:f>
      </x:c>
      <x:c r="T140" s="54"/>
      <x:c r="U140" s="54"/>
      <x:c r="V140" s="63"/>
      <x:c r="W140" s="74"/>
      <x:c r="X140" s="77" t="str">
        <x:f>IF($C140="","",IFERROR(VLOOKUP($M140,'Lists &amp; Rules'!$L$5:$N$13,2,FALSE),0))</x:f>
      </x:c>
      <x:c r="Y140" s="80" t="str">
        <x:f>IF(OR($C140="",$W140=""),"",ROUND($W140*$X140,0))</x:f>
      </x:c>
      <x:c r="Z140" s="57" t="str">
        <x:f>IF($A140="","",COUNTIF('Activity Log'!$C$6:$C$1005,$A140))</x:f>
      </x:c>
      <x:c r="AA140" s="68"/>
      <x:c r="AB140" s="63"/>
    </x:row>
    <x:row r="141">
      <x:c r="A141" s="54"/>
      <x:c r="B141" s="68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  <x:c r="N141" s="54"/>
      <x:c r="O141" s="57" t="str">
        <x:f>IF($C141="","",MAX(0,MIN(100,IFERROR(VLOOKUP($L141,'Lists &amp; Rules'!$P$5:$Q$8,2,FALSE),0)+IFERROR(VLOOKUP($N141,'Lists &amp; Rules'!$S$5:$T$7,2,FALSE),0)+IFERROR(VLOOKUP($M141,'Lists &amp; Rules'!$L$5:$N$13,3,FALSE),0)+IF($R141="Overdue",-10,IF($R141="Today",5,0))+MIN(15,$Z141*3))))</x:f>
      </x:c>
      <x:c r="P141" s="71" t="str">
        <x:f>IF($A141="","",IF(COUNTIF('Activity Log'!$C$6:$C$1005,$A141)=0,"",MAXIFS('Activity Log'!$B$6:$B$1005,'Activity Log'!$C$6:$C$1005,$A141)))</x:f>
      </x:c>
      <x:c r="Q141" s="71" t="str">
        <x:f>IF($A141="","",IF(COUNTIFS('Activity Log'!$C$6:$C$1005,$A141,'Activity Log'!$J$6:$J$1005,"No",'Activity Log'!$I$6:$I$1005,"&gt;0")=0,"",MINIFS('Activity Log'!$I$6:$I$1005,'Activity Log'!$C$6:$C$1005,$A141,'Activity Log'!$J$6:$J$1005,"No",'Activity Log'!$I$6:$I$1005,"&gt;0")))</x:f>
      </x:c>
      <x:c r="R141" s="57" t="str">
        <x:f>IF($C141="","",IF(OR($K141="Won",$K141="Lost",$K141="Disqualified"),"Closed",IF($Q141="","No date",IF(INT($Q141)&lt;TODAY(),"Overdue",IF(INT($Q141)=TODAY(),"Today",IF(INT($Q141)&lt;=TODAY()+7,"Next 7 days","Later"))))))</x:f>
      </x:c>
      <x:c r="S141" s="57" t="str">
        <x:f>IF(OR($C141="",$P141=""),"",TODAY()-INT($P141))</x:f>
      </x:c>
      <x:c r="T141" s="54"/>
      <x:c r="U141" s="54"/>
      <x:c r="V141" s="63"/>
      <x:c r="W141" s="74"/>
      <x:c r="X141" s="77" t="str">
        <x:f>IF($C141="","",IFERROR(VLOOKUP($M141,'Lists &amp; Rules'!$L$5:$N$13,2,FALSE),0))</x:f>
      </x:c>
      <x:c r="Y141" s="80" t="str">
        <x:f>IF(OR($C141="",$W141=""),"",ROUND($W141*$X141,0))</x:f>
      </x:c>
      <x:c r="Z141" s="57" t="str">
        <x:f>IF($A141="","",COUNTIF('Activity Log'!$C$6:$C$1005,$A141))</x:f>
      </x:c>
      <x:c r="AA141" s="68"/>
      <x:c r="AB141" s="63"/>
    </x:row>
    <x:row r="142">
      <x:c r="A142" s="54"/>
      <x:c r="B142" s="68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  <x:c r="N142" s="54"/>
      <x:c r="O142" s="57" t="str">
        <x:f>IF($C142="","",MAX(0,MIN(100,IFERROR(VLOOKUP($L142,'Lists &amp; Rules'!$P$5:$Q$8,2,FALSE),0)+IFERROR(VLOOKUP($N142,'Lists &amp; Rules'!$S$5:$T$7,2,FALSE),0)+IFERROR(VLOOKUP($M142,'Lists &amp; Rules'!$L$5:$N$13,3,FALSE),0)+IF($R142="Overdue",-10,IF($R142="Today",5,0))+MIN(15,$Z142*3))))</x:f>
      </x:c>
      <x:c r="P142" s="71" t="str">
        <x:f>IF($A142="","",IF(COUNTIF('Activity Log'!$C$6:$C$1005,$A142)=0,"",MAXIFS('Activity Log'!$B$6:$B$1005,'Activity Log'!$C$6:$C$1005,$A142)))</x:f>
      </x:c>
      <x:c r="Q142" s="71" t="str">
        <x:f>IF($A142="","",IF(COUNTIFS('Activity Log'!$C$6:$C$1005,$A142,'Activity Log'!$J$6:$J$1005,"No",'Activity Log'!$I$6:$I$1005,"&gt;0")=0,"",MINIFS('Activity Log'!$I$6:$I$1005,'Activity Log'!$C$6:$C$1005,$A142,'Activity Log'!$J$6:$J$1005,"No",'Activity Log'!$I$6:$I$1005,"&gt;0")))</x:f>
      </x:c>
      <x:c r="R142" s="57" t="str">
        <x:f>IF($C142="","",IF(OR($K142="Won",$K142="Lost",$K142="Disqualified"),"Closed",IF($Q142="","No date",IF(INT($Q142)&lt;TODAY(),"Overdue",IF(INT($Q142)=TODAY(),"Today",IF(INT($Q142)&lt;=TODAY()+7,"Next 7 days","Later"))))))</x:f>
      </x:c>
      <x:c r="S142" s="57" t="str">
        <x:f>IF(OR($C142="",$P142=""),"",TODAY()-INT($P142))</x:f>
      </x:c>
      <x:c r="T142" s="54"/>
      <x:c r="U142" s="54"/>
      <x:c r="V142" s="63"/>
      <x:c r="W142" s="74"/>
      <x:c r="X142" s="77" t="str">
        <x:f>IF($C142="","",IFERROR(VLOOKUP($M142,'Lists &amp; Rules'!$L$5:$N$13,2,FALSE),0))</x:f>
      </x:c>
      <x:c r="Y142" s="80" t="str">
        <x:f>IF(OR($C142="",$W142=""),"",ROUND($W142*$X142,0))</x:f>
      </x:c>
      <x:c r="Z142" s="57" t="str">
        <x:f>IF($A142="","",COUNTIF('Activity Log'!$C$6:$C$1005,$A142))</x:f>
      </x:c>
      <x:c r="AA142" s="68"/>
      <x:c r="AB142" s="63"/>
    </x:row>
    <x:row r="143">
      <x:c r="A143" s="54"/>
      <x:c r="B143" s="68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  <x:c r="N143" s="54"/>
      <x:c r="O143" s="57" t="str">
        <x:f>IF($C143="","",MAX(0,MIN(100,IFERROR(VLOOKUP($L143,'Lists &amp; Rules'!$P$5:$Q$8,2,FALSE),0)+IFERROR(VLOOKUP($N143,'Lists &amp; Rules'!$S$5:$T$7,2,FALSE),0)+IFERROR(VLOOKUP($M143,'Lists &amp; Rules'!$L$5:$N$13,3,FALSE),0)+IF($R143="Overdue",-10,IF($R143="Today",5,0))+MIN(15,$Z143*3))))</x:f>
      </x:c>
      <x:c r="P143" s="71" t="str">
        <x:f>IF($A143="","",IF(COUNTIF('Activity Log'!$C$6:$C$1005,$A143)=0,"",MAXIFS('Activity Log'!$B$6:$B$1005,'Activity Log'!$C$6:$C$1005,$A143)))</x:f>
      </x:c>
      <x:c r="Q143" s="71" t="str">
        <x:f>IF($A143="","",IF(COUNTIFS('Activity Log'!$C$6:$C$1005,$A143,'Activity Log'!$J$6:$J$1005,"No",'Activity Log'!$I$6:$I$1005,"&gt;0")=0,"",MINIFS('Activity Log'!$I$6:$I$1005,'Activity Log'!$C$6:$C$1005,$A143,'Activity Log'!$J$6:$J$1005,"No",'Activity Log'!$I$6:$I$1005,"&gt;0")))</x:f>
      </x:c>
      <x:c r="R143" s="57" t="str">
        <x:f>IF($C143="","",IF(OR($K143="Won",$K143="Lost",$K143="Disqualified"),"Closed",IF($Q143="","No date",IF(INT($Q143)&lt;TODAY(),"Overdue",IF(INT($Q143)=TODAY(),"Today",IF(INT($Q143)&lt;=TODAY()+7,"Next 7 days","Later"))))))</x:f>
      </x:c>
      <x:c r="S143" s="57" t="str">
        <x:f>IF(OR($C143="",$P143=""),"",TODAY()-INT($P143))</x:f>
      </x:c>
      <x:c r="T143" s="54"/>
      <x:c r="U143" s="54"/>
      <x:c r="V143" s="63"/>
      <x:c r="W143" s="74"/>
      <x:c r="X143" s="77" t="str">
        <x:f>IF($C143="","",IFERROR(VLOOKUP($M143,'Lists &amp; Rules'!$L$5:$N$13,2,FALSE),0))</x:f>
      </x:c>
      <x:c r="Y143" s="80" t="str">
        <x:f>IF(OR($C143="",$W143=""),"",ROUND($W143*$X143,0))</x:f>
      </x:c>
      <x:c r="Z143" s="57" t="str">
        <x:f>IF($A143="","",COUNTIF('Activity Log'!$C$6:$C$1005,$A143))</x:f>
      </x:c>
      <x:c r="AA143" s="68"/>
      <x:c r="AB143" s="63"/>
    </x:row>
    <x:row r="144">
      <x:c r="A144" s="54"/>
      <x:c r="B144" s="68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  <x:c r="N144" s="54"/>
      <x:c r="O144" s="57" t="str">
        <x:f>IF($C144="","",MAX(0,MIN(100,IFERROR(VLOOKUP($L144,'Lists &amp; Rules'!$P$5:$Q$8,2,FALSE),0)+IFERROR(VLOOKUP($N144,'Lists &amp; Rules'!$S$5:$T$7,2,FALSE),0)+IFERROR(VLOOKUP($M144,'Lists &amp; Rules'!$L$5:$N$13,3,FALSE),0)+IF($R144="Overdue",-10,IF($R144="Today",5,0))+MIN(15,$Z144*3))))</x:f>
      </x:c>
      <x:c r="P144" s="71" t="str">
        <x:f>IF($A144="","",IF(COUNTIF('Activity Log'!$C$6:$C$1005,$A144)=0,"",MAXIFS('Activity Log'!$B$6:$B$1005,'Activity Log'!$C$6:$C$1005,$A144)))</x:f>
      </x:c>
      <x:c r="Q144" s="71" t="str">
        <x:f>IF($A144="","",IF(COUNTIFS('Activity Log'!$C$6:$C$1005,$A144,'Activity Log'!$J$6:$J$1005,"No",'Activity Log'!$I$6:$I$1005,"&gt;0")=0,"",MINIFS('Activity Log'!$I$6:$I$1005,'Activity Log'!$C$6:$C$1005,$A144,'Activity Log'!$J$6:$J$1005,"No",'Activity Log'!$I$6:$I$1005,"&gt;0")))</x:f>
      </x:c>
      <x:c r="R144" s="57" t="str">
        <x:f>IF($C144="","",IF(OR($K144="Won",$K144="Lost",$K144="Disqualified"),"Closed",IF($Q144="","No date",IF(INT($Q144)&lt;TODAY(),"Overdue",IF(INT($Q144)=TODAY(),"Today",IF(INT($Q144)&lt;=TODAY()+7,"Next 7 days","Later"))))))</x:f>
      </x:c>
      <x:c r="S144" s="57" t="str">
        <x:f>IF(OR($C144="",$P144=""),"",TODAY()-INT($P144))</x:f>
      </x:c>
      <x:c r="T144" s="54"/>
      <x:c r="U144" s="54"/>
      <x:c r="V144" s="63"/>
      <x:c r="W144" s="74"/>
      <x:c r="X144" s="77" t="str">
        <x:f>IF($C144="","",IFERROR(VLOOKUP($M144,'Lists &amp; Rules'!$L$5:$N$13,2,FALSE),0))</x:f>
      </x:c>
      <x:c r="Y144" s="80" t="str">
        <x:f>IF(OR($C144="",$W144=""),"",ROUND($W144*$X144,0))</x:f>
      </x:c>
      <x:c r="Z144" s="57" t="str">
        <x:f>IF($A144="","",COUNTIF('Activity Log'!$C$6:$C$1005,$A144))</x:f>
      </x:c>
      <x:c r="AA144" s="68"/>
      <x:c r="AB144" s="63"/>
    </x:row>
    <x:row r="145">
      <x:c r="A145" s="54"/>
      <x:c r="B145" s="68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  <x:c r="N145" s="54"/>
      <x:c r="O145" s="57" t="str">
        <x:f>IF($C145="","",MAX(0,MIN(100,IFERROR(VLOOKUP($L145,'Lists &amp; Rules'!$P$5:$Q$8,2,FALSE),0)+IFERROR(VLOOKUP($N145,'Lists &amp; Rules'!$S$5:$T$7,2,FALSE),0)+IFERROR(VLOOKUP($M145,'Lists &amp; Rules'!$L$5:$N$13,3,FALSE),0)+IF($R145="Overdue",-10,IF($R145="Today",5,0))+MIN(15,$Z145*3))))</x:f>
      </x:c>
      <x:c r="P145" s="71" t="str">
        <x:f>IF($A145="","",IF(COUNTIF('Activity Log'!$C$6:$C$1005,$A145)=0,"",MAXIFS('Activity Log'!$B$6:$B$1005,'Activity Log'!$C$6:$C$1005,$A145)))</x:f>
      </x:c>
      <x:c r="Q145" s="71" t="str">
        <x:f>IF($A145="","",IF(COUNTIFS('Activity Log'!$C$6:$C$1005,$A145,'Activity Log'!$J$6:$J$1005,"No",'Activity Log'!$I$6:$I$1005,"&gt;0")=0,"",MINIFS('Activity Log'!$I$6:$I$1005,'Activity Log'!$C$6:$C$1005,$A145,'Activity Log'!$J$6:$J$1005,"No",'Activity Log'!$I$6:$I$1005,"&gt;0")))</x:f>
      </x:c>
      <x:c r="R145" s="57" t="str">
        <x:f>IF($C145="","",IF(OR($K145="Won",$K145="Lost",$K145="Disqualified"),"Closed",IF($Q145="","No date",IF(INT($Q145)&lt;TODAY(),"Overdue",IF(INT($Q145)=TODAY(),"Today",IF(INT($Q145)&lt;=TODAY()+7,"Next 7 days","Later"))))))</x:f>
      </x:c>
      <x:c r="S145" s="57" t="str">
        <x:f>IF(OR($C145="",$P145=""),"",TODAY()-INT($P145))</x:f>
      </x:c>
      <x:c r="T145" s="54"/>
      <x:c r="U145" s="54"/>
      <x:c r="V145" s="63"/>
      <x:c r="W145" s="74"/>
      <x:c r="X145" s="77" t="str">
        <x:f>IF($C145="","",IFERROR(VLOOKUP($M145,'Lists &amp; Rules'!$L$5:$N$13,2,FALSE),0))</x:f>
      </x:c>
      <x:c r="Y145" s="80" t="str">
        <x:f>IF(OR($C145="",$W145=""),"",ROUND($W145*$X145,0))</x:f>
      </x:c>
      <x:c r="Z145" s="57" t="str">
        <x:f>IF($A145="","",COUNTIF('Activity Log'!$C$6:$C$1005,$A145))</x:f>
      </x:c>
      <x:c r="AA145" s="68"/>
      <x:c r="AB145" s="63"/>
    </x:row>
    <x:row r="146">
      <x:c r="A146" s="54"/>
      <x:c r="B146" s="68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  <x:c r="N146" s="54"/>
      <x:c r="O146" s="57" t="str">
        <x:f>IF($C146="","",MAX(0,MIN(100,IFERROR(VLOOKUP($L146,'Lists &amp; Rules'!$P$5:$Q$8,2,FALSE),0)+IFERROR(VLOOKUP($N146,'Lists &amp; Rules'!$S$5:$T$7,2,FALSE),0)+IFERROR(VLOOKUP($M146,'Lists &amp; Rules'!$L$5:$N$13,3,FALSE),0)+IF($R146="Overdue",-10,IF($R146="Today",5,0))+MIN(15,$Z146*3))))</x:f>
      </x:c>
      <x:c r="P146" s="71" t="str">
        <x:f>IF($A146="","",IF(COUNTIF('Activity Log'!$C$6:$C$1005,$A146)=0,"",MAXIFS('Activity Log'!$B$6:$B$1005,'Activity Log'!$C$6:$C$1005,$A146)))</x:f>
      </x:c>
      <x:c r="Q146" s="71" t="str">
        <x:f>IF($A146="","",IF(COUNTIFS('Activity Log'!$C$6:$C$1005,$A146,'Activity Log'!$J$6:$J$1005,"No",'Activity Log'!$I$6:$I$1005,"&gt;0")=0,"",MINIFS('Activity Log'!$I$6:$I$1005,'Activity Log'!$C$6:$C$1005,$A146,'Activity Log'!$J$6:$J$1005,"No",'Activity Log'!$I$6:$I$1005,"&gt;0")))</x:f>
      </x:c>
      <x:c r="R146" s="57" t="str">
        <x:f>IF($C146="","",IF(OR($K146="Won",$K146="Lost",$K146="Disqualified"),"Closed",IF($Q146="","No date",IF(INT($Q146)&lt;TODAY(),"Overdue",IF(INT($Q146)=TODAY(),"Today",IF(INT($Q146)&lt;=TODAY()+7,"Next 7 days","Later"))))))</x:f>
      </x:c>
      <x:c r="S146" s="57" t="str">
        <x:f>IF(OR($C146="",$P146=""),"",TODAY()-INT($P146))</x:f>
      </x:c>
      <x:c r="T146" s="54"/>
      <x:c r="U146" s="54"/>
      <x:c r="V146" s="63"/>
      <x:c r="W146" s="74"/>
      <x:c r="X146" s="77" t="str">
        <x:f>IF($C146="","",IFERROR(VLOOKUP($M146,'Lists &amp; Rules'!$L$5:$N$13,2,FALSE),0))</x:f>
      </x:c>
      <x:c r="Y146" s="80" t="str">
        <x:f>IF(OR($C146="",$W146=""),"",ROUND($W146*$X146,0))</x:f>
      </x:c>
      <x:c r="Z146" s="57" t="str">
        <x:f>IF($A146="","",COUNTIF('Activity Log'!$C$6:$C$1005,$A146))</x:f>
      </x:c>
      <x:c r="AA146" s="68"/>
      <x:c r="AB146" s="63"/>
    </x:row>
    <x:row r="147">
      <x:c r="A147" s="54"/>
      <x:c r="B147" s="68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  <x:c r="N147" s="54"/>
      <x:c r="O147" s="57" t="str">
        <x:f>IF($C147="","",MAX(0,MIN(100,IFERROR(VLOOKUP($L147,'Lists &amp; Rules'!$P$5:$Q$8,2,FALSE),0)+IFERROR(VLOOKUP($N147,'Lists &amp; Rules'!$S$5:$T$7,2,FALSE),0)+IFERROR(VLOOKUP($M147,'Lists &amp; Rules'!$L$5:$N$13,3,FALSE),0)+IF($R147="Overdue",-10,IF($R147="Today",5,0))+MIN(15,$Z147*3))))</x:f>
      </x:c>
      <x:c r="P147" s="71" t="str">
        <x:f>IF($A147="","",IF(COUNTIF('Activity Log'!$C$6:$C$1005,$A147)=0,"",MAXIFS('Activity Log'!$B$6:$B$1005,'Activity Log'!$C$6:$C$1005,$A147)))</x:f>
      </x:c>
      <x:c r="Q147" s="71" t="str">
        <x:f>IF($A147="","",IF(COUNTIFS('Activity Log'!$C$6:$C$1005,$A147,'Activity Log'!$J$6:$J$1005,"No",'Activity Log'!$I$6:$I$1005,"&gt;0")=0,"",MINIFS('Activity Log'!$I$6:$I$1005,'Activity Log'!$C$6:$C$1005,$A147,'Activity Log'!$J$6:$J$1005,"No",'Activity Log'!$I$6:$I$1005,"&gt;0")))</x:f>
      </x:c>
      <x:c r="R147" s="57" t="str">
        <x:f>IF($C147="","",IF(OR($K147="Won",$K147="Lost",$K147="Disqualified"),"Closed",IF($Q147="","No date",IF(INT($Q147)&lt;TODAY(),"Overdue",IF(INT($Q147)=TODAY(),"Today",IF(INT($Q147)&lt;=TODAY()+7,"Next 7 days","Later"))))))</x:f>
      </x:c>
      <x:c r="S147" s="57" t="str">
        <x:f>IF(OR($C147="",$P147=""),"",TODAY()-INT($P147))</x:f>
      </x:c>
      <x:c r="T147" s="54"/>
      <x:c r="U147" s="54"/>
      <x:c r="V147" s="63"/>
      <x:c r="W147" s="74"/>
      <x:c r="X147" s="77" t="str">
        <x:f>IF($C147="","",IFERROR(VLOOKUP($M147,'Lists &amp; Rules'!$L$5:$N$13,2,FALSE),0))</x:f>
      </x:c>
      <x:c r="Y147" s="80" t="str">
        <x:f>IF(OR($C147="",$W147=""),"",ROUND($W147*$X147,0))</x:f>
      </x:c>
      <x:c r="Z147" s="57" t="str">
        <x:f>IF($A147="","",COUNTIF('Activity Log'!$C$6:$C$1005,$A147))</x:f>
      </x:c>
      <x:c r="AA147" s="68"/>
      <x:c r="AB147" s="63"/>
    </x:row>
    <x:row r="148">
      <x:c r="A148" s="54"/>
      <x:c r="B148" s="68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  <x:c r="N148" s="54"/>
      <x:c r="O148" s="57" t="str">
        <x:f>IF($C148="","",MAX(0,MIN(100,IFERROR(VLOOKUP($L148,'Lists &amp; Rules'!$P$5:$Q$8,2,FALSE),0)+IFERROR(VLOOKUP($N148,'Lists &amp; Rules'!$S$5:$T$7,2,FALSE),0)+IFERROR(VLOOKUP($M148,'Lists &amp; Rules'!$L$5:$N$13,3,FALSE),0)+IF($R148="Overdue",-10,IF($R148="Today",5,0))+MIN(15,$Z148*3))))</x:f>
      </x:c>
      <x:c r="P148" s="71" t="str">
        <x:f>IF($A148="","",IF(COUNTIF('Activity Log'!$C$6:$C$1005,$A148)=0,"",MAXIFS('Activity Log'!$B$6:$B$1005,'Activity Log'!$C$6:$C$1005,$A148)))</x:f>
      </x:c>
      <x:c r="Q148" s="71" t="str">
        <x:f>IF($A148="","",IF(COUNTIFS('Activity Log'!$C$6:$C$1005,$A148,'Activity Log'!$J$6:$J$1005,"No",'Activity Log'!$I$6:$I$1005,"&gt;0")=0,"",MINIFS('Activity Log'!$I$6:$I$1005,'Activity Log'!$C$6:$C$1005,$A148,'Activity Log'!$J$6:$J$1005,"No",'Activity Log'!$I$6:$I$1005,"&gt;0")))</x:f>
      </x:c>
      <x:c r="R148" s="57" t="str">
        <x:f>IF($C148="","",IF(OR($K148="Won",$K148="Lost",$K148="Disqualified"),"Closed",IF($Q148="","No date",IF(INT($Q148)&lt;TODAY(),"Overdue",IF(INT($Q148)=TODAY(),"Today",IF(INT($Q148)&lt;=TODAY()+7,"Next 7 days","Later"))))))</x:f>
      </x:c>
      <x:c r="S148" s="57" t="str">
        <x:f>IF(OR($C148="",$P148=""),"",TODAY()-INT($P148))</x:f>
      </x:c>
      <x:c r="T148" s="54"/>
      <x:c r="U148" s="54"/>
      <x:c r="V148" s="63"/>
      <x:c r="W148" s="74"/>
      <x:c r="X148" s="77" t="str">
        <x:f>IF($C148="","",IFERROR(VLOOKUP($M148,'Lists &amp; Rules'!$L$5:$N$13,2,FALSE),0))</x:f>
      </x:c>
      <x:c r="Y148" s="80" t="str">
        <x:f>IF(OR($C148="",$W148=""),"",ROUND($W148*$X148,0))</x:f>
      </x:c>
      <x:c r="Z148" s="57" t="str">
        <x:f>IF($A148="","",COUNTIF('Activity Log'!$C$6:$C$1005,$A148))</x:f>
      </x:c>
      <x:c r="AA148" s="68"/>
      <x:c r="AB148" s="63"/>
    </x:row>
    <x:row r="149">
      <x:c r="A149" s="54"/>
      <x:c r="B149" s="68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7" t="str">
        <x:f>IF($C149="","",MAX(0,MIN(100,IFERROR(VLOOKUP($L149,'Lists &amp; Rules'!$P$5:$Q$8,2,FALSE),0)+IFERROR(VLOOKUP($N149,'Lists &amp; Rules'!$S$5:$T$7,2,FALSE),0)+IFERROR(VLOOKUP($M149,'Lists &amp; Rules'!$L$5:$N$13,3,FALSE),0)+IF($R149="Overdue",-10,IF($R149="Today",5,0))+MIN(15,$Z149*3))))</x:f>
      </x:c>
      <x:c r="P149" s="71" t="str">
        <x:f>IF($A149="","",IF(COUNTIF('Activity Log'!$C$6:$C$1005,$A149)=0,"",MAXIFS('Activity Log'!$B$6:$B$1005,'Activity Log'!$C$6:$C$1005,$A149)))</x:f>
      </x:c>
      <x:c r="Q149" s="71" t="str">
        <x:f>IF($A149="","",IF(COUNTIFS('Activity Log'!$C$6:$C$1005,$A149,'Activity Log'!$J$6:$J$1005,"No",'Activity Log'!$I$6:$I$1005,"&gt;0")=0,"",MINIFS('Activity Log'!$I$6:$I$1005,'Activity Log'!$C$6:$C$1005,$A149,'Activity Log'!$J$6:$J$1005,"No",'Activity Log'!$I$6:$I$1005,"&gt;0")))</x:f>
      </x:c>
      <x:c r="R149" s="57" t="str">
        <x:f>IF($C149="","",IF(OR($K149="Won",$K149="Lost",$K149="Disqualified"),"Closed",IF($Q149="","No date",IF(INT($Q149)&lt;TODAY(),"Overdue",IF(INT($Q149)=TODAY(),"Today",IF(INT($Q149)&lt;=TODAY()+7,"Next 7 days","Later"))))))</x:f>
      </x:c>
      <x:c r="S149" s="57" t="str">
        <x:f>IF(OR($C149="",$P149=""),"",TODAY()-INT($P149))</x:f>
      </x:c>
      <x:c r="T149" s="54"/>
      <x:c r="U149" s="54"/>
      <x:c r="V149" s="63"/>
      <x:c r="W149" s="74"/>
      <x:c r="X149" s="77" t="str">
        <x:f>IF($C149="","",IFERROR(VLOOKUP($M149,'Lists &amp; Rules'!$L$5:$N$13,2,FALSE),0))</x:f>
      </x:c>
      <x:c r="Y149" s="80" t="str">
        <x:f>IF(OR($C149="",$W149=""),"",ROUND($W149*$X149,0))</x:f>
      </x:c>
      <x:c r="Z149" s="57" t="str">
        <x:f>IF($A149="","",COUNTIF('Activity Log'!$C$6:$C$1005,$A149))</x:f>
      </x:c>
      <x:c r="AA149" s="68"/>
      <x:c r="AB149" s="63"/>
    </x:row>
    <x:row r="150">
      <x:c r="A150" s="54"/>
      <x:c r="B150" s="68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  <x:c r="N150" s="54"/>
      <x:c r="O150" s="57" t="str">
        <x:f>IF($C150="","",MAX(0,MIN(100,IFERROR(VLOOKUP($L150,'Lists &amp; Rules'!$P$5:$Q$8,2,FALSE),0)+IFERROR(VLOOKUP($N150,'Lists &amp; Rules'!$S$5:$T$7,2,FALSE),0)+IFERROR(VLOOKUP($M150,'Lists &amp; Rules'!$L$5:$N$13,3,FALSE),0)+IF($R150="Overdue",-10,IF($R150="Today",5,0))+MIN(15,$Z150*3))))</x:f>
      </x:c>
      <x:c r="P150" s="71" t="str">
        <x:f>IF($A150="","",IF(COUNTIF('Activity Log'!$C$6:$C$1005,$A150)=0,"",MAXIFS('Activity Log'!$B$6:$B$1005,'Activity Log'!$C$6:$C$1005,$A150)))</x:f>
      </x:c>
      <x:c r="Q150" s="71" t="str">
        <x:f>IF($A150="","",IF(COUNTIFS('Activity Log'!$C$6:$C$1005,$A150,'Activity Log'!$J$6:$J$1005,"No",'Activity Log'!$I$6:$I$1005,"&gt;0")=0,"",MINIFS('Activity Log'!$I$6:$I$1005,'Activity Log'!$C$6:$C$1005,$A150,'Activity Log'!$J$6:$J$1005,"No",'Activity Log'!$I$6:$I$1005,"&gt;0")))</x:f>
      </x:c>
      <x:c r="R150" s="57" t="str">
        <x:f>IF($C150="","",IF(OR($K150="Won",$K150="Lost",$K150="Disqualified"),"Closed",IF($Q150="","No date",IF(INT($Q150)&lt;TODAY(),"Overdue",IF(INT($Q150)=TODAY(),"Today",IF(INT($Q150)&lt;=TODAY()+7,"Next 7 days","Later"))))))</x:f>
      </x:c>
      <x:c r="S150" s="57" t="str">
        <x:f>IF(OR($C150="",$P150=""),"",TODAY()-INT($P150))</x:f>
      </x:c>
      <x:c r="T150" s="54"/>
      <x:c r="U150" s="54"/>
      <x:c r="V150" s="63"/>
      <x:c r="W150" s="74"/>
      <x:c r="X150" s="77" t="str">
        <x:f>IF($C150="","",IFERROR(VLOOKUP($M150,'Lists &amp; Rules'!$L$5:$N$13,2,FALSE),0))</x:f>
      </x:c>
      <x:c r="Y150" s="80" t="str">
        <x:f>IF(OR($C150="",$W150=""),"",ROUND($W150*$X150,0))</x:f>
      </x:c>
      <x:c r="Z150" s="57" t="str">
        <x:f>IF($A150="","",COUNTIF('Activity Log'!$C$6:$C$1005,$A150))</x:f>
      </x:c>
      <x:c r="AA150" s="68"/>
      <x:c r="AB150" s="63"/>
    </x:row>
    <x:row r="151">
      <x:c r="A151" s="54"/>
      <x:c r="B151" s="68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  <x:c r="N151" s="54"/>
      <x:c r="O151" s="57" t="str">
        <x:f>IF($C151="","",MAX(0,MIN(100,IFERROR(VLOOKUP($L151,'Lists &amp; Rules'!$P$5:$Q$8,2,FALSE),0)+IFERROR(VLOOKUP($N151,'Lists &amp; Rules'!$S$5:$T$7,2,FALSE),0)+IFERROR(VLOOKUP($M151,'Lists &amp; Rules'!$L$5:$N$13,3,FALSE),0)+IF($R151="Overdue",-10,IF($R151="Today",5,0))+MIN(15,$Z151*3))))</x:f>
      </x:c>
      <x:c r="P151" s="71" t="str">
        <x:f>IF($A151="","",IF(COUNTIF('Activity Log'!$C$6:$C$1005,$A151)=0,"",MAXIFS('Activity Log'!$B$6:$B$1005,'Activity Log'!$C$6:$C$1005,$A151)))</x:f>
      </x:c>
      <x:c r="Q151" s="71" t="str">
        <x:f>IF($A151="","",IF(COUNTIFS('Activity Log'!$C$6:$C$1005,$A151,'Activity Log'!$J$6:$J$1005,"No",'Activity Log'!$I$6:$I$1005,"&gt;0")=0,"",MINIFS('Activity Log'!$I$6:$I$1005,'Activity Log'!$C$6:$C$1005,$A151,'Activity Log'!$J$6:$J$1005,"No",'Activity Log'!$I$6:$I$1005,"&gt;0")))</x:f>
      </x:c>
      <x:c r="R151" s="57" t="str">
        <x:f>IF($C151="","",IF(OR($K151="Won",$K151="Lost",$K151="Disqualified"),"Closed",IF($Q151="","No date",IF(INT($Q151)&lt;TODAY(),"Overdue",IF(INT($Q151)=TODAY(),"Today",IF(INT($Q151)&lt;=TODAY()+7,"Next 7 days","Later"))))))</x:f>
      </x:c>
      <x:c r="S151" s="57" t="str">
        <x:f>IF(OR($C151="",$P151=""),"",TODAY()-INT($P151))</x:f>
      </x:c>
      <x:c r="T151" s="54"/>
      <x:c r="U151" s="54"/>
      <x:c r="V151" s="63"/>
      <x:c r="W151" s="74"/>
      <x:c r="X151" s="77" t="str">
        <x:f>IF($C151="","",IFERROR(VLOOKUP($M151,'Lists &amp; Rules'!$L$5:$N$13,2,FALSE),0))</x:f>
      </x:c>
      <x:c r="Y151" s="80" t="str">
        <x:f>IF(OR($C151="",$W151=""),"",ROUND($W151*$X151,0))</x:f>
      </x:c>
      <x:c r="Z151" s="57" t="str">
        <x:f>IF($A151="","",COUNTIF('Activity Log'!$C$6:$C$1005,$A151))</x:f>
      </x:c>
      <x:c r="AA151" s="68"/>
      <x:c r="AB151" s="63"/>
    </x:row>
    <x:row r="152">
      <x:c r="A152" s="54"/>
      <x:c r="B152" s="68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  <x:c r="N152" s="54"/>
      <x:c r="O152" s="57" t="str">
        <x:f>IF($C152="","",MAX(0,MIN(100,IFERROR(VLOOKUP($L152,'Lists &amp; Rules'!$P$5:$Q$8,2,FALSE),0)+IFERROR(VLOOKUP($N152,'Lists &amp; Rules'!$S$5:$T$7,2,FALSE),0)+IFERROR(VLOOKUP($M152,'Lists &amp; Rules'!$L$5:$N$13,3,FALSE),0)+IF($R152="Overdue",-10,IF($R152="Today",5,0))+MIN(15,$Z152*3))))</x:f>
      </x:c>
      <x:c r="P152" s="71" t="str">
        <x:f>IF($A152="","",IF(COUNTIF('Activity Log'!$C$6:$C$1005,$A152)=0,"",MAXIFS('Activity Log'!$B$6:$B$1005,'Activity Log'!$C$6:$C$1005,$A152)))</x:f>
      </x:c>
      <x:c r="Q152" s="71" t="str">
        <x:f>IF($A152="","",IF(COUNTIFS('Activity Log'!$C$6:$C$1005,$A152,'Activity Log'!$J$6:$J$1005,"No",'Activity Log'!$I$6:$I$1005,"&gt;0")=0,"",MINIFS('Activity Log'!$I$6:$I$1005,'Activity Log'!$C$6:$C$1005,$A152,'Activity Log'!$J$6:$J$1005,"No",'Activity Log'!$I$6:$I$1005,"&gt;0")))</x:f>
      </x:c>
      <x:c r="R152" s="57" t="str">
        <x:f>IF($C152="","",IF(OR($K152="Won",$K152="Lost",$K152="Disqualified"),"Closed",IF($Q152="","No date",IF(INT($Q152)&lt;TODAY(),"Overdue",IF(INT($Q152)=TODAY(),"Today",IF(INT($Q152)&lt;=TODAY()+7,"Next 7 days","Later"))))))</x:f>
      </x:c>
      <x:c r="S152" s="57" t="str">
        <x:f>IF(OR($C152="",$P152=""),"",TODAY()-INT($P152))</x:f>
      </x:c>
      <x:c r="T152" s="54"/>
      <x:c r="U152" s="54"/>
      <x:c r="V152" s="63"/>
      <x:c r="W152" s="74"/>
      <x:c r="X152" s="77" t="str">
        <x:f>IF($C152="","",IFERROR(VLOOKUP($M152,'Lists &amp; Rules'!$L$5:$N$13,2,FALSE),0))</x:f>
      </x:c>
      <x:c r="Y152" s="80" t="str">
        <x:f>IF(OR($C152="",$W152=""),"",ROUND($W152*$X152,0))</x:f>
      </x:c>
      <x:c r="Z152" s="57" t="str">
        <x:f>IF($A152="","",COUNTIF('Activity Log'!$C$6:$C$1005,$A152))</x:f>
      </x:c>
      <x:c r="AA152" s="68"/>
      <x:c r="AB152" s="63"/>
    </x:row>
    <x:row r="153">
      <x:c r="A153" s="54"/>
      <x:c r="B153" s="68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  <x:c r="N153" s="54"/>
      <x:c r="O153" s="57" t="str">
        <x:f>IF($C153="","",MAX(0,MIN(100,IFERROR(VLOOKUP($L153,'Lists &amp; Rules'!$P$5:$Q$8,2,FALSE),0)+IFERROR(VLOOKUP($N153,'Lists &amp; Rules'!$S$5:$T$7,2,FALSE),0)+IFERROR(VLOOKUP($M153,'Lists &amp; Rules'!$L$5:$N$13,3,FALSE),0)+IF($R153="Overdue",-10,IF($R153="Today",5,0))+MIN(15,$Z153*3))))</x:f>
      </x:c>
      <x:c r="P153" s="71" t="str">
        <x:f>IF($A153="","",IF(COUNTIF('Activity Log'!$C$6:$C$1005,$A153)=0,"",MAXIFS('Activity Log'!$B$6:$B$1005,'Activity Log'!$C$6:$C$1005,$A153)))</x:f>
      </x:c>
      <x:c r="Q153" s="71" t="str">
        <x:f>IF($A153="","",IF(COUNTIFS('Activity Log'!$C$6:$C$1005,$A153,'Activity Log'!$J$6:$J$1005,"No",'Activity Log'!$I$6:$I$1005,"&gt;0")=0,"",MINIFS('Activity Log'!$I$6:$I$1005,'Activity Log'!$C$6:$C$1005,$A153,'Activity Log'!$J$6:$J$1005,"No",'Activity Log'!$I$6:$I$1005,"&gt;0")))</x:f>
      </x:c>
      <x:c r="R153" s="57" t="str">
        <x:f>IF($C153="","",IF(OR($K153="Won",$K153="Lost",$K153="Disqualified"),"Closed",IF($Q153="","No date",IF(INT($Q153)&lt;TODAY(),"Overdue",IF(INT($Q153)=TODAY(),"Today",IF(INT($Q153)&lt;=TODAY()+7,"Next 7 days","Later"))))))</x:f>
      </x:c>
      <x:c r="S153" s="57" t="str">
        <x:f>IF(OR($C153="",$P153=""),"",TODAY()-INT($P153))</x:f>
      </x:c>
      <x:c r="T153" s="54"/>
      <x:c r="U153" s="54"/>
      <x:c r="V153" s="63"/>
      <x:c r="W153" s="74"/>
      <x:c r="X153" s="77" t="str">
        <x:f>IF($C153="","",IFERROR(VLOOKUP($M153,'Lists &amp; Rules'!$L$5:$N$13,2,FALSE),0))</x:f>
      </x:c>
      <x:c r="Y153" s="80" t="str">
        <x:f>IF(OR($C153="",$W153=""),"",ROUND($W153*$X153,0))</x:f>
      </x:c>
      <x:c r="Z153" s="57" t="str">
        <x:f>IF($A153="","",COUNTIF('Activity Log'!$C$6:$C$1005,$A153))</x:f>
      </x:c>
      <x:c r="AA153" s="68"/>
      <x:c r="AB153" s="63"/>
    </x:row>
    <x:row r="154">
      <x:c r="A154" s="54"/>
      <x:c r="B154" s="68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  <x:c r="N154" s="54"/>
      <x:c r="O154" s="57" t="str">
        <x:f>IF($C154="","",MAX(0,MIN(100,IFERROR(VLOOKUP($L154,'Lists &amp; Rules'!$P$5:$Q$8,2,FALSE),0)+IFERROR(VLOOKUP($N154,'Lists &amp; Rules'!$S$5:$T$7,2,FALSE),0)+IFERROR(VLOOKUP($M154,'Lists &amp; Rules'!$L$5:$N$13,3,FALSE),0)+IF($R154="Overdue",-10,IF($R154="Today",5,0))+MIN(15,$Z154*3))))</x:f>
      </x:c>
      <x:c r="P154" s="71" t="str">
        <x:f>IF($A154="","",IF(COUNTIF('Activity Log'!$C$6:$C$1005,$A154)=0,"",MAXIFS('Activity Log'!$B$6:$B$1005,'Activity Log'!$C$6:$C$1005,$A154)))</x:f>
      </x:c>
      <x:c r="Q154" s="71" t="str">
        <x:f>IF($A154="","",IF(COUNTIFS('Activity Log'!$C$6:$C$1005,$A154,'Activity Log'!$J$6:$J$1005,"No",'Activity Log'!$I$6:$I$1005,"&gt;0")=0,"",MINIFS('Activity Log'!$I$6:$I$1005,'Activity Log'!$C$6:$C$1005,$A154,'Activity Log'!$J$6:$J$1005,"No",'Activity Log'!$I$6:$I$1005,"&gt;0")))</x:f>
      </x:c>
      <x:c r="R154" s="57" t="str">
        <x:f>IF($C154="","",IF(OR($K154="Won",$K154="Lost",$K154="Disqualified"),"Closed",IF($Q154="","No date",IF(INT($Q154)&lt;TODAY(),"Overdue",IF(INT($Q154)=TODAY(),"Today",IF(INT($Q154)&lt;=TODAY()+7,"Next 7 days","Later"))))))</x:f>
      </x:c>
      <x:c r="S154" s="57" t="str">
        <x:f>IF(OR($C154="",$P154=""),"",TODAY()-INT($P154))</x:f>
      </x:c>
      <x:c r="T154" s="54"/>
      <x:c r="U154" s="54"/>
      <x:c r="V154" s="63"/>
      <x:c r="W154" s="74"/>
      <x:c r="X154" s="77" t="str">
        <x:f>IF($C154="","",IFERROR(VLOOKUP($M154,'Lists &amp; Rules'!$L$5:$N$13,2,FALSE),0))</x:f>
      </x:c>
      <x:c r="Y154" s="80" t="str">
        <x:f>IF(OR($C154="",$W154=""),"",ROUND($W154*$X154,0))</x:f>
      </x:c>
      <x:c r="Z154" s="57" t="str">
        <x:f>IF($A154="","",COUNTIF('Activity Log'!$C$6:$C$1005,$A154))</x:f>
      </x:c>
      <x:c r="AA154" s="68"/>
      <x:c r="AB154" s="63"/>
    </x:row>
    <x:row r="155">
      <x:c r="A155" s="54"/>
      <x:c r="B155" s="68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  <x:c r="N155" s="54"/>
      <x:c r="O155" s="57" t="str">
        <x:f>IF($C155="","",MAX(0,MIN(100,IFERROR(VLOOKUP($L155,'Lists &amp; Rules'!$P$5:$Q$8,2,FALSE),0)+IFERROR(VLOOKUP($N155,'Lists &amp; Rules'!$S$5:$T$7,2,FALSE),0)+IFERROR(VLOOKUP($M155,'Lists &amp; Rules'!$L$5:$N$13,3,FALSE),0)+IF($R155="Overdue",-10,IF($R155="Today",5,0))+MIN(15,$Z155*3))))</x:f>
      </x:c>
      <x:c r="P155" s="71" t="str">
        <x:f>IF($A155="","",IF(COUNTIF('Activity Log'!$C$6:$C$1005,$A155)=0,"",MAXIFS('Activity Log'!$B$6:$B$1005,'Activity Log'!$C$6:$C$1005,$A155)))</x:f>
      </x:c>
      <x:c r="Q155" s="71" t="str">
        <x:f>IF($A155="","",IF(COUNTIFS('Activity Log'!$C$6:$C$1005,$A155,'Activity Log'!$J$6:$J$1005,"No",'Activity Log'!$I$6:$I$1005,"&gt;0")=0,"",MINIFS('Activity Log'!$I$6:$I$1005,'Activity Log'!$C$6:$C$1005,$A155,'Activity Log'!$J$6:$J$1005,"No",'Activity Log'!$I$6:$I$1005,"&gt;0")))</x:f>
      </x:c>
      <x:c r="R155" s="57" t="str">
        <x:f>IF($C155="","",IF(OR($K155="Won",$K155="Lost",$K155="Disqualified"),"Closed",IF($Q155="","No date",IF(INT($Q155)&lt;TODAY(),"Overdue",IF(INT($Q155)=TODAY(),"Today",IF(INT($Q155)&lt;=TODAY()+7,"Next 7 days","Later"))))))</x:f>
      </x:c>
      <x:c r="S155" s="57" t="str">
        <x:f>IF(OR($C155="",$P155=""),"",TODAY()-INT($P155))</x:f>
      </x:c>
      <x:c r="T155" s="54"/>
      <x:c r="U155" s="54"/>
      <x:c r="V155" s="63"/>
      <x:c r="W155" s="74"/>
      <x:c r="X155" s="77" t="str">
        <x:f>IF($C155="","",IFERROR(VLOOKUP($M155,'Lists &amp; Rules'!$L$5:$N$13,2,FALSE),0))</x:f>
      </x:c>
      <x:c r="Y155" s="80" t="str">
        <x:f>IF(OR($C155="",$W155=""),"",ROUND($W155*$X155,0))</x:f>
      </x:c>
      <x:c r="Z155" s="57" t="str">
        <x:f>IF($A155="","",COUNTIF('Activity Log'!$C$6:$C$1005,$A155))</x:f>
      </x:c>
      <x:c r="AA155" s="68"/>
      <x:c r="AB155" s="63"/>
    </x:row>
    <x:row r="156">
      <x:c r="A156" s="54"/>
      <x:c r="B156" s="68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  <x:c r="N156" s="54"/>
      <x:c r="O156" s="57" t="str">
        <x:f>IF($C156="","",MAX(0,MIN(100,IFERROR(VLOOKUP($L156,'Lists &amp; Rules'!$P$5:$Q$8,2,FALSE),0)+IFERROR(VLOOKUP($N156,'Lists &amp; Rules'!$S$5:$T$7,2,FALSE),0)+IFERROR(VLOOKUP($M156,'Lists &amp; Rules'!$L$5:$N$13,3,FALSE),0)+IF($R156="Overdue",-10,IF($R156="Today",5,0))+MIN(15,$Z156*3))))</x:f>
      </x:c>
      <x:c r="P156" s="71" t="str">
        <x:f>IF($A156="","",IF(COUNTIF('Activity Log'!$C$6:$C$1005,$A156)=0,"",MAXIFS('Activity Log'!$B$6:$B$1005,'Activity Log'!$C$6:$C$1005,$A156)))</x:f>
      </x:c>
      <x:c r="Q156" s="71" t="str">
        <x:f>IF($A156="","",IF(COUNTIFS('Activity Log'!$C$6:$C$1005,$A156,'Activity Log'!$J$6:$J$1005,"No",'Activity Log'!$I$6:$I$1005,"&gt;0")=0,"",MINIFS('Activity Log'!$I$6:$I$1005,'Activity Log'!$C$6:$C$1005,$A156,'Activity Log'!$J$6:$J$1005,"No",'Activity Log'!$I$6:$I$1005,"&gt;0")))</x:f>
      </x:c>
      <x:c r="R156" s="57" t="str">
        <x:f>IF($C156="","",IF(OR($K156="Won",$K156="Lost",$K156="Disqualified"),"Closed",IF($Q156="","No date",IF(INT($Q156)&lt;TODAY(),"Overdue",IF(INT($Q156)=TODAY(),"Today",IF(INT($Q156)&lt;=TODAY()+7,"Next 7 days","Later"))))))</x:f>
      </x:c>
      <x:c r="S156" s="57" t="str">
        <x:f>IF(OR($C156="",$P156=""),"",TODAY()-INT($P156))</x:f>
      </x:c>
      <x:c r="T156" s="54"/>
      <x:c r="U156" s="54"/>
      <x:c r="V156" s="63"/>
      <x:c r="W156" s="74"/>
      <x:c r="X156" s="77" t="str">
        <x:f>IF($C156="","",IFERROR(VLOOKUP($M156,'Lists &amp; Rules'!$L$5:$N$13,2,FALSE),0))</x:f>
      </x:c>
      <x:c r="Y156" s="80" t="str">
        <x:f>IF(OR($C156="",$W156=""),"",ROUND($W156*$X156,0))</x:f>
      </x:c>
      <x:c r="Z156" s="57" t="str">
        <x:f>IF($A156="","",COUNTIF('Activity Log'!$C$6:$C$1005,$A156))</x:f>
      </x:c>
      <x:c r="AA156" s="68"/>
      <x:c r="AB156" s="63"/>
    </x:row>
    <x:row r="157">
      <x:c r="A157" s="54"/>
      <x:c r="B157" s="68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  <x:c r="N157" s="54"/>
      <x:c r="O157" s="57" t="str">
        <x:f>IF($C157="","",MAX(0,MIN(100,IFERROR(VLOOKUP($L157,'Lists &amp; Rules'!$P$5:$Q$8,2,FALSE),0)+IFERROR(VLOOKUP($N157,'Lists &amp; Rules'!$S$5:$T$7,2,FALSE),0)+IFERROR(VLOOKUP($M157,'Lists &amp; Rules'!$L$5:$N$13,3,FALSE),0)+IF($R157="Overdue",-10,IF($R157="Today",5,0))+MIN(15,$Z157*3))))</x:f>
      </x:c>
      <x:c r="P157" s="71" t="str">
        <x:f>IF($A157="","",IF(COUNTIF('Activity Log'!$C$6:$C$1005,$A157)=0,"",MAXIFS('Activity Log'!$B$6:$B$1005,'Activity Log'!$C$6:$C$1005,$A157)))</x:f>
      </x:c>
      <x:c r="Q157" s="71" t="str">
        <x:f>IF($A157="","",IF(COUNTIFS('Activity Log'!$C$6:$C$1005,$A157,'Activity Log'!$J$6:$J$1005,"No",'Activity Log'!$I$6:$I$1005,"&gt;0")=0,"",MINIFS('Activity Log'!$I$6:$I$1005,'Activity Log'!$C$6:$C$1005,$A157,'Activity Log'!$J$6:$J$1005,"No",'Activity Log'!$I$6:$I$1005,"&gt;0")))</x:f>
      </x:c>
      <x:c r="R157" s="57" t="str">
        <x:f>IF($C157="","",IF(OR($K157="Won",$K157="Lost",$K157="Disqualified"),"Closed",IF($Q157="","No date",IF(INT($Q157)&lt;TODAY(),"Overdue",IF(INT($Q157)=TODAY(),"Today",IF(INT($Q157)&lt;=TODAY()+7,"Next 7 days","Later"))))))</x:f>
      </x:c>
      <x:c r="S157" s="57" t="str">
        <x:f>IF(OR($C157="",$P157=""),"",TODAY()-INT($P157))</x:f>
      </x:c>
      <x:c r="T157" s="54"/>
      <x:c r="U157" s="54"/>
      <x:c r="V157" s="63"/>
      <x:c r="W157" s="74"/>
      <x:c r="X157" s="77" t="str">
        <x:f>IF($C157="","",IFERROR(VLOOKUP($M157,'Lists &amp; Rules'!$L$5:$N$13,2,FALSE),0))</x:f>
      </x:c>
      <x:c r="Y157" s="80" t="str">
        <x:f>IF(OR($C157="",$W157=""),"",ROUND($W157*$X157,0))</x:f>
      </x:c>
      <x:c r="Z157" s="57" t="str">
        <x:f>IF($A157="","",COUNTIF('Activity Log'!$C$6:$C$1005,$A157))</x:f>
      </x:c>
      <x:c r="AA157" s="68"/>
      <x:c r="AB157" s="63"/>
    </x:row>
    <x:row r="158">
      <x:c r="A158" s="54"/>
      <x:c r="B158" s="68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  <x:c r="N158" s="54"/>
      <x:c r="O158" s="57" t="str">
        <x:f>IF($C158="","",MAX(0,MIN(100,IFERROR(VLOOKUP($L158,'Lists &amp; Rules'!$P$5:$Q$8,2,FALSE),0)+IFERROR(VLOOKUP($N158,'Lists &amp; Rules'!$S$5:$T$7,2,FALSE),0)+IFERROR(VLOOKUP($M158,'Lists &amp; Rules'!$L$5:$N$13,3,FALSE),0)+IF($R158="Overdue",-10,IF($R158="Today",5,0))+MIN(15,$Z158*3))))</x:f>
      </x:c>
      <x:c r="P158" s="71" t="str">
        <x:f>IF($A158="","",IF(COUNTIF('Activity Log'!$C$6:$C$1005,$A158)=0,"",MAXIFS('Activity Log'!$B$6:$B$1005,'Activity Log'!$C$6:$C$1005,$A158)))</x:f>
      </x:c>
      <x:c r="Q158" s="71" t="str">
        <x:f>IF($A158="","",IF(COUNTIFS('Activity Log'!$C$6:$C$1005,$A158,'Activity Log'!$J$6:$J$1005,"No",'Activity Log'!$I$6:$I$1005,"&gt;0")=0,"",MINIFS('Activity Log'!$I$6:$I$1005,'Activity Log'!$C$6:$C$1005,$A158,'Activity Log'!$J$6:$J$1005,"No",'Activity Log'!$I$6:$I$1005,"&gt;0")))</x:f>
      </x:c>
      <x:c r="R158" s="57" t="str">
        <x:f>IF($C158="","",IF(OR($K158="Won",$K158="Lost",$K158="Disqualified"),"Closed",IF($Q158="","No date",IF(INT($Q158)&lt;TODAY(),"Overdue",IF(INT($Q158)=TODAY(),"Today",IF(INT($Q158)&lt;=TODAY()+7,"Next 7 days","Later"))))))</x:f>
      </x:c>
      <x:c r="S158" s="57" t="str">
        <x:f>IF(OR($C158="",$P158=""),"",TODAY()-INT($P158))</x:f>
      </x:c>
      <x:c r="T158" s="54"/>
      <x:c r="U158" s="54"/>
      <x:c r="V158" s="63"/>
      <x:c r="W158" s="74"/>
      <x:c r="X158" s="77" t="str">
        <x:f>IF($C158="","",IFERROR(VLOOKUP($M158,'Lists &amp; Rules'!$L$5:$N$13,2,FALSE),0))</x:f>
      </x:c>
      <x:c r="Y158" s="80" t="str">
        <x:f>IF(OR($C158="",$W158=""),"",ROUND($W158*$X158,0))</x:f>
      </x:c>
      <x:c r="Z158" s="57" t="str">
        <x:f>IF($A158="","",COUNTIF('Activity Log'!$C$6:$C$1005,$A158))</x:f>
      </x:c>
      <x:c r="AA158" s="68"/>
      <x:c r="AB158" s="63"/>
    </x:row>
    <x:row r="159">
      <x:c r="A159" s="54"/>
      <x:c r="B159" s="68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  <x:c r="N159" s="54"/>
      <x:c r="O159" s="57" t="str">
        <x:f>IF($C159="","",MAX(0,MIN(100,IFERROR(VLOOKUP($L159,'Lists &amp; Rules'!$P$5:$Q$8,2,FALSE),0)+IFERROR(VLOOKUP($N159,'Lists &amp; Rules'!$S$5:$T$7,2,FALSE),0)+IFERROR(VLOOKUP($M159,'Lists &amp; Rules'!$L$5:$N$13,3,FALSE),0)+IF($R159="Overdue",-10,IF($R159="Today",5,0))+MIN(15,$Z159*3))))</x:f>
      </x:c>
      <x:c r="P159" s="71" t="str">
        <x:f>IF($A159="","",IF(COUNTIF('Activity Log'!$C$6:$C$1005,$A159)=0,"",MAXIFS('Activity Log'!$B$6:$B$1005,'Activity Log'!$C$6:$C$1005,$A159)))</x:f>
      </x:c>
      <x:c r="Q159" s="71" t="str">
        <x:f>IF($A159="","",IF(COUNTIFS('Activity Log'!$C$6:$C$1005,$A159,'Activity Log'!$J$6:$J$1005,"No",'Activity Log'!$I$6:$I$1005,"&gt;0")=0,"",MINIFS('Activity Log'!$I$6:$I$1005,'Activity Log'!$C$6:$C$1005,$A159,'Activity Log'!$J$6:$J$1005,"No",'Activity Log'!$I$6:$I$1005,"&gt;0")))</x:f>
      </x:c>
      <x:c r="R159" s="57" t="str">
        <x:f>IF($C159="","",IF(OR($K159="Won",$K159="Lost",$K159="Disqualified"),"Closed",IF($Q159="","No date",IF(INT($Q159)&lt;TODAY(),"Overdue",IF(INT($Q159)=TODAY(),"Today",IF(INT($Q159)&lt;=TODAY()+7,"Next 7 days","Later"))))))</x:f>
      </x:c>
      <x:c r="S159" s="57" t="str">
        <x:f>IF(OR($C159="",$P159=""),"",TODAY()-INT($P159))</x:f>
      </x:c>
      <x:c r="T159" s="54"/>
      <x:c r="U159" s="54"/>
      <x:c r="V159" s="63"/>
      <x:c r="W159" s="74"/>
      <x:c r="X159" s="77" t="str">
        <x:f>IF($C159="","",IFERROR(VLOOKUP($M159,'Lists &amp; Rules'!$L$5:$N$13,2,FALSE),0))</x:f>
      </x:c>
      <x:c r="Y159" s="80" t="str">
        <x:f>IF(OR($C159="",$W159=""),"",ROUND($W159*$X159,0))</x:f>
      </x:c>
      <x:c r="Z159" s="57" t="str">
        <x:f>IF($A159="","",COUNTIF('Activity Log'!$C$6:$C$1005,$A159))</x:f>
      </x:c>
      <x:c r="AA159" s="68"/>
      <x:c r="AB159" s="63"/>
    </x:row>
    <x:row r="160">
      <x:c r="A160" s="54"/>
      <x:c r="B160" s="68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  <x:c r="N160" s="54"/>
      <x:c r="O160" s="57" t="str">
        <x:f>IF($C160="","",MAX(0,MIN(100,IFERROR(VLOOKUP($L160,'Lists &amp; Rules'!$P$5:$Q$8,2,FALSE),0)+IFERROR(VLOOKUP($N160,'Lists &amp; Rules'!$S$5:$T$7,2,FALSE),0)+IFERROR(VLOOKUP($M160,'Lists &amp; Rules'!$L$5:$N$13,3,FALSE),0)+IF($R160="Overdue",-10,IF($R160="Today",5,0))+MIN(15,$Z160*3))))</x:f>
      </x:c>
      <x:c r="P160" s="71" t="str">
        <x:f>IF($A160="","",IF(COUNTIF('Activity Log'!$C$6:$C$1005,$A160)=0,"",MAXIFS('Activity Log'!$B$6:$B$1005,'Activity Log'!$C$6:$C$1005,$A160)))</x:f>
      </x:c>
      <x:c r="Q160" s="71" t="str">
        <x:f>IF($A160="","",IF(COUNTIFS('Activity Log'!$C$6:$C$1005,$A160,'Activity Log'!$J$6:$J$1005,"No",'Activity Log'!$I$6:$I$1005,"&gt;0")=0,"",MINIFS('Activity Log'!$I$6:$I$1005,'Activity Log'!$C$6:$C$1005,$A160,'Activity Log'!$J$6:$J$1005,"No",'Activity Log'!$I$6:$I$1005,"&gt;0")))</x:f>
      </x:c>
      <x:c r="R160" s="57" t="str">
        <x:f>IF($C160="","",IF(OR($K160="Won",$K160="Lost",$K160="Disqualified"),"Closed",IF($Q160="","No date",IF(INT($Q160)&lt;TODAY(),"Overdue",IF(INT($Q160)=TODAY(),"Today",IF(INT($Q160)&lt;=TODAY()+7,"Next 7 days","Later"))))))</x:f>
      </x:c>
      <x:c r="S160" s="57" t="str">
        <x:f>IF(OR($C160="",$P160=""),"",TODAY()-INT($P160))</x:f>
      </x:c>
      <x:c r="T160" s="54"/>
      <x:c r="U160" s="54"/>
      <x:c r="V160" s="63"/>
      <x:c r="W160" s="74"/>
      <x:c r="X160" s="77" t="str">
        <x:f>IF($C160="","",IFERROR(VLOOKUP($M160,'Lists &amp; Rules'!$L$5:$N$13,2,FALSE),0))</x:f>
      </x:c>
      <x:c r="Y160" s="80" t="str">
        <x:f>IF(OR($C160="",$W160=""),"",ROUND($W160*$X160,0))</x:f>
      </x:c>
      <x:c r="Z160" s="57" t="str">
        <x:f>IF($A160="","",COUNTIF('Activity Log'!$C$6:$C$1005,$A160))</x:f>
      </x:c>
      <x:c r="AA160" s="68"/>
      <x:c r="AB160" s="63"/>
    </x:row>
    <x:row r="161">
      <x:c r="A161" s="54"/>
      <x:c r="B161" s="68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  <x:c r="N161" s="54"/>
      <x:c r="O161" s="57" t="str">
        <x:f>IF($C161="","",MAX(0,MIN(100,IFERROR(VLOOKUP($L161,'Lists &amp; Rules'!$P$5:$Q$8,2,FALSE),0)+IFERROR(VLOOKUP($N161,'Lists &amp; Rules'!$S$5:$T$7,2,FALSE),0)+IFERROR(VLOOKUP($M161,'Lists &amp; Rules'!$L$5:$N$13,3,FALSE),0)+IF($R161="Overdue",-10,IF($R161="Today",5,0))+MIN(15,$Z161*3))))</x:f>
      </x:c>
      <x:c r="P161" s="71" t="str">
        <x:f>IF($A161="","",IF(COUNTIF('Activity Log'!$C$6:$C$1005,$A161)=0,"",MAXIFS('Activity Log'!$B$6:$B$1005,'Activity Log'!$C$6:$C$1005,$A161)))</x:f>
      </x:c>
      <x:c r="Q161" s="71" t="str">
        <x:f>IF($A161="","",IF(COUNTIFS('Activity Log'!$C$6:$C$1005,$A161,'Activity Log'!$J$6:$J$1005,"No",'Activity Log'!$I$6:$I$1005,"&gt;0")=0,"",MINIFS('Activity Log'!$I$6:$I$1005,'Activity Log'!$C$6:$C$1005,$A161,'Activity Log'!$J$6:$J$1005,"No",'Activity Log'!$I$6:$I$1005,"&gt;0")))</x:f>
      </x:c>
      <x:c r="R161" s="57" t="str">
        <x:f>IF($C161="","",IF(OR($K161="Won",$K161="Lost",$K161="Disqualified"),"Closed",IF($Q161="","No date",IF(INT($Q161)&lt;TODAY(),"Overdue",IF(INT($Q161)=TODAY(),"Today",IF(INT($Q161)&lt;=TODAY()+7,"Next 7 days","Later"))))))</x:f>
      </x:c>
      <x:c r="S161" s="57" t="str">
        <x:f>IF(OR($C161="",$P161=""),"",TODAY()-INT($P161))</x:f>
      </x:c>
      <x:c r="T161" s="54"/>
      <x:c r="U161" s="54"/>
      <x:c r="V161" s="63"/>
      <x:c r="W161" s="74"/>
      <x:c r="X161" s="77" t="str">
        <x:f>IF($C161="","",IFERROR(VLOOKUP($M161,'Lists &amp; Rules'!$L$5:$N$13,2,FALSE),0))</x:f>
      </x:c>
      <x:c r="Y161" s="80" t="str">
        <x:f>IF(OR($C161="",$W161=""),"",ROUND($W161*$X161,0))</x:f>
      </x:c>
      <x:c r="Z161" s="57" t="str">
        <x:f>IF($A161="","",COUNTIF('Activity Log'!$C$6:$C$1005,$A161))</x:f>
      </x:c>
      <x:c r="AA161" s="68"/>
      <x:c r="AB161" s="63"/>
    </x:row>
    <x:row r="162">
      <x:c r="A162" s="54"/>
      <x:c r="B162" s="68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  <x:c r="N162" s="54"/>
      <x:c r="O162" s="57" t="str">
        <x:f>IF($C162="","",MAX(0,MIN(100,IFERROR(VLOOKUP($L162,'Lists &amp; Rules'!$P$5:$Q$8,2,FALSE),0)+IFERROR(VLOOKUP($N162,'Lists &amp; Rules'!$S$5:$T$7,2,FALSE),0)+IFERROR(VLOOKUP($M162,'Lists &amp; Rules'!$L$5:$N$13,3,FALSE),0)+IF($R162="Overdue",-10,IF($R162="Today",5,0))+MIN(15,$Z162*3))))</x:f>
      </x:c>
      <x:c r="P162" s="71" t="str">
        <x:f>IF($A162="","",IF(COUNTIF('Activity Log'!$C$6:$C$1005,$A162)=0,"",MAXIFS('Activity Log'!$B$6:$B$1005,'Activity Log'!$C$6:$C$1005,$A162)))</x:f>
      </x:c>
      <x:c r="Q162" s="71" t="str">
        <x:f>IF($A162="","",IF(COUNTIFS('Activity Log'!$C$6:$C$1005,$A162,'Activity Log'!$J$6:$J$1005,"No",'Activity Log'!$I$6:$I$1005,"&gt;0")=0,"",MINIFS('Activity Log'!$I$6:$I$1005,'Activity Log'!$C$6:$C$1005,$A162,'Activity Log'!$J$6:$J$1005,"No",'Activity Log'!$I$6:$I$1005,"&gt;0")))</x:f>
      </x:c>
      <x:c r="R162" s="57" t="str">
        <x:f>IF($C162="","",IF(OR($K162="Won",$K162="Lost",$K162="Disqualified"),"Closed",IF($Q162="","No date",IF(INT($Q162)&lt;TODAY(),"Overdue",IF(INT($Q162)=TODAY(),"Today",IF(INT($Q162)&lt;=TODAY()+7,"Next 7 days","Later"))))))</x:f>
      </x:c>
      <x:c r="S162" s="57" t="str">
        <x:f>IF(OR($C162="",$P162=""),"",TODAY()-INT($P162))</x:f>
      </x:c>
      <x:c r="T162" s="54"/>
      <x:c r="U162" s="54"/>
      <x:c r="V162" s="63"/>
      <x:c r="W162" s="74"/>
      <x:c r="X162" s="77" t="str">
        <x:f>IF($C162="","",IFERROR(VLOOKUP($M162,'Lists &amp; Rules'!$L$5:$N$13,2,FALSE),0))</x:f>
      </x:c>
      <x:c r="Y162" s="80" t="str">
        <x:f>IF(OR($C162="",$W162=""),"",ROUND($W162*$X162,0))</x:f>
      </x:c>
      <x:c r="Z162" s="57" t="str">
        <x:f>IF($A162="","",COUNTIF('Activity Log'!$C$6:$C$1005,$A162))</x:f>
      </x:c>
      <x:c r="AA162" s="68"/>
      <x:c r="AB162" s="63"/>
    </x:row>
    <x:row r="163">
      <x:c r="A163" s="54"/>
      <x:c r="B163" s="68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  <x:c r="N163" s="54"/>
      <x:c r="O163" s="57" t="str">
        <x:f>IF($C163="","",MAX(0,MIN(100,IFERROR(VLOOKUP($L163,'Lists &amp; Rules'!$P$5:$Q$8,2,FALSE),0)+IFERROR(VLOOKUP($N163,'Lists &amp; Rules'!$S$5:$T$7,2,FALSE),0)+IFERROR(VLOOKUP($M163,'Lists &amp; Rules'!$L$5:$N$13,3,FALSE),0)+IF($R163="Overdue",-10,IF($R163="Today",5,0))+MIN(15,$Z163*3))))</x:f>
      </x:c>
      <x:c r="P163" s="71" t="str">
        <x:f>IF($A163="","",IF(COUNTIF('Activity Log'!$C$6:$C$1005,$A163)=0,"",MAXIFS('Activity Log'!$B$6:$B$1005,'Activity Log'!$C$6:$C$1005,$A163)))</x:f>
      </x:c>
      <x:c r="Q163" s="71" t="str">
        <x:f>IF($A163="","",IF(COUNTIFS('Activity Log'!$C$6:$C$1005,$A163,'Activity Log'!$J$6:$J$1005,"No",'Activity Log'!$I$6:$I$1005,"&gt;0")=0,"",MINIFS('Activity Log'!$I$6:$I$1005,'Activity Log'!$C$6:$C$1005,$A163,'Activity Log'!$J$6:$J$1005,"No",'Activity Log'!$I$6:$I$1005,"&gt;0")))</x:f>
      </x:c>
      <x:c r="R163" s="57" t="str">
        <x:f>IF($C163="","",IF(OR($K163="Won",$K163="Lost",$K163="Disqualified"),"Closed",IF($Q163="","No date",IF(INT($Q163)&lt;TODAY(),"Overdue",IF(INT($Q163)=TODAY(),"Today",IF(INT($Q163)&lt;=TODAY()+7,"Next 7 days","Later"))))))</x:f>
      </x:c>
      <x:c r="S163" s="57" t="str">
        <x:f>IF(OR($C163="",$P163=""),"",TODAY()-INT($P163))</x:f>
      </x:c>
      <x:c r="T163" s="54"/>
      <x:c r="U163" s="54"/>
      <x:c r="V163" s="63"/>
      <x:c r="W163" s="74"/>
      <x:c r="X163" s="77" t="str">
        <x:f>IF($C163="","",IFERROR(VLOOKUP($M163,'Lists &amp; Rules'!$L$5:$N$13,2,FALSE),0))</x:f>
      </x:c>
      <x:c r="Y163" s="80" t="str">
        <x:f>IF(OR($C163="",$W163=""),"",ROUND($W163*$X163,0))</x:f>
      </x:c>
      <x:c r="Z163" s="57" t="str">
        <x:f>IF($A163="","",COUNTIF('Activity Log'!$C$6:$C$1005,$A163))</x:f>
      </x:c>
      <x:c r="AA163" s="68"/>
      <x:c r="AB163" s="63"/>
    </x:row>
    <x:row r="164">
      <x:c r="A164" s="54"/>
      <x:c r="B164" s="68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  <x:c r="N164" s="54"/>
      <x:c r="O164" s="57" t="str">
        <x:f>IF($C164="","",MAX(0,MIN(100,IFERROR(VLOOKUP($L164,'Lists &amp; Rules'!$P$5:$Q$8,2,FALSE),0)+IFERROR(VLOOKUP($N164,'Lists &amp; Rules'!$S$5:$T$7,2,FALSE),0)+IFERROR(VLOOKUP($M164,'Lists &amp; Rules'!$L$5:$N$13,3,FALSE),0)+IF($R164="Overdue",-10,IF($R164="Today",5,0))+MIN(15,$Z164*3))))</x:f>
      </x:c>
      <x:c r="P164" s="71" t="str">
        <x:f>IF($A164="","",IF(COUNTIF('Activity Log'!$C$6:$C$1005,$A164)=0,"",MAXIFS('Activity Log'!$B$6:$B$1005,'Activity Log'!$C$6:$C$1005,$A164)))</x:f>
      </x:c>
      <x:c r="Q164" s="71" t="str">
        <x:f>IF($A164="","",IF(COUNTIFS('Activity Log'!$C$6:$C$1005,$A164,'Activity Log'!$J$6:$J$1005,"No",'Activity Log'!$I$6:$I$1005,"&gt;0")=0,"",MINIFS('Activity Log'!$I$6:$I$1005,'Activity Log'!$C$6:$C$1005,$A164,'Activity Log'!$J$6:$J$1005,"No",'Activity Log'!$I$6:$I$1005,"&gt;0")))</x:f>
      </x:c>
      <x:c r="R164" s="57" t="str">
        <x:f>IF($C164="","",IF(OR($K164="Won",$K164="Lost",$K164="Disqualified"),"Closed",IF($Q164="","No date",IF(INT($Q164)&lt;TODAY(),"Overdue",IF(INT($Q164)=TODAY(),"Today",IF(INT($Q164)&lt;=TODAY()+7,"Next 7 days","Later"))))))</x:f>
      </x:c>
      <x:c r="S164" s="57" t="str">
        <x:f>IF(OR($C164="",$P164=""),"",TODAY()-INT($P164))</x:f>
      </x:c>
      <x:c r="T164" s="54"/>
      <x:c r="U164" s="54"/>
      <x:c r="V164" s="63"/>
      <x:c r="W164" s="74"/>
      <x:c r="X164" s="77" t="str">
        <x:f>IF($C164="","",IFERROR(VLOOKUP($M164,'Lists &amp; Rules'!$L$5:$N$13,2,FALSE),0))</x:f>
      </x:c>
      <x:c r="Y164" s="80" t="str">
        <x:f>IF(OR($C164="",$W164=""),"",ROUND($W164*$X164,0))</x:f>
      </x:c>
      <x:c r="Z164" s="57" t="str">
        <x:f>IF($A164="","",COUNTIF('Activity Log'!$C$6:$C$1005,$A164))</x:f>
      </x:c>
      <x:c r="AA164" s="68"/>
      <x:c r="AB164" s="63"/>
    </x:row>
    <x:row r="165">
      <x:c r="A165" s="54"/>
      <x:c r="B165" s="68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  <x:c r="N165" s="54"/>
      <x:c r="O165" s="57" t="str">
        <x:f>IF($C165="","",MAX(0,MIN(100,IFERROR(VLOOKUP($L165,'Lists &amp; Rules'!$P$5:$Q$8,2,FALSE),0)+IFERROR(VLOOKUP($N165,'Lists &amp; Rules'!$S$5:$T$7,2,FALSE),0)+IFERROR(VLOOKUP($M165,'Lists &amp; Rules'!$L$5:$N$13,3,FALSE),0)+IF($R165="Overdue",-10,IF($R165="Today",5,0))+MIN(15,$Z165*3))))</x:f>
      </x:c>
      <x:c r="P165" s="71" t="str">
        <x:f>IF($A165="","",IF(COUNTIF('Activity Log'!$C$6:$C$1005,$A165)=0,"",MAXIFS('Activity Log'!$B$6:$B$1005,'Activity Log'!$C$6:$C$1005,$A165)))</x:f>
      </x:c>
      <x:c r="Q165" s="71" t="str">
        <x:f>IF($A165="","",IF(COUNTIFS('Activity Log'!$C$6:$C$1005,$A165,'Activity Log'!$J$6:$J$1005,"No",'Activity Log'!$I$6:$I$1005,"&gt;0")=0,"",MINIFS('Activity Log'!$I$6:$I$1005,'Activity Log'!$C$6:$C$1005,$A165,'Activity Log'!$J$6:$J$1005,"No",'Activity Log'!$I$6:$I$1005,"&gt;0")))</x:f>
      </x:c>
      <x:c r="R165" s="57" t="str">
        <x:f>IF($C165="","",IF(OR($K165="Won",$K165="Lost",$K165="Disqualified"),"Closed",IF($Q165="","No date",IF(INT($Q165)&lt;TODAY(),"Overdue",IF(INT($Q165)=TODAY(),"Today",IF(INT($Q165)&lt;=TODAY()+7,"Next 7 days","Later"))))))</x:f>
      </x:c>
      <x:c r="S165" s="57" t="str">
        <x:f>IF(OR($C165="",$P165=""),"",TODAY()-INT($P165))</x:f>
      </x:c>
      <x:c r="T165" s="54"/>
      <x:c r="U165" s="54"/>
      <x:c r="V165" s="63"/>
      <x:c r="W165" s="74"/>
      <x:c r="X165" s="77" t="str">
        <x:f>IF($C165="","",IFERROR(VLOOKUP($M165,'Lists &amp; Rules'!$L$5:$N$13,2,FALSE),0))</x:f>
      </x:c>
      <x:c r="Y165" s="80" t="str">
        <x:f>IF(OR($C165="",$W165=""),"",ROUND($W165*$X165,0))</x:f>
      </x:c>
      <x:c r="Z165" s="57" t="str">
        <x:f>IF($A165="","",COUNTIF('Activity Log'!$C$6:$C$1005,$A165))</x:f>
      </x:c>
      <x:c r="AA165" s="68"/>
      <x:c r="AB165" s="63"/>
    </x:row>
    <x:row r="166">
      <x:c r="A166" s="54"/>
      <x:c r="B166" s="68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  <x:c r="N166" s="54"/>
      <x:c r="O166" s="57" t="str">
        <x:f>IF($C166="","",MAX(0,MIN(100,IFERROR(VLOOKUP($L166,'Lists &amp; Rules'!$P$5:$Q$8,2,FALSE),0)+IFERROR(VLOOKUP($N166,'Lists &amp; Rules'!$S$5:$T$7,2,FALSE),0)+IFERROR(VLOOKUP($M166,'Lists &amp; Rules'!$L$5:$N$13,3,FALSE),0)+IF($R166="Overdue",-10,IF($R166="Today",5,0))+MIN(15,$Z166*3))))</x:f>
      </x:c>
      <x:c r="P166" s="71" t="str">
        <x:f>IF($A166="","",IF(COUNTIF('Activity Log'!$C$6:$C$1005,$A166)=0,"",MAXIFS('Activity Log'!$B$6:$B$1005,'Activity Log'!$C$6:$C$1005,$A166)))</x:f>
      </x:c>
      <x:c r="Q166" s="71" t="str">
        <x:f>IF($A166="","",IF(COUNTIFS('Activity Log'!$C$6:$C$1005,$A166,'Activity Log'!$J$6:$J$1005,"No",'Activity Log'!$I$6:$I$1005,"&gt;0")=0,"",MINIFS('Activity Log'!$I$6:$I$1005,'Activity Log'!$C$6:$C$1005,$A166,'Activity Log'!$J$6:$J$1005,"No",'Activity Log'!$I$6:$I$1005,"&gt;0")))</x:f>
      </x:c>
      <x:c r="R166" s="57" t="str">
        <x:f>IF($C166="","",IF(OR($K166="Won",$K166="Lost",$K166="Disqualified"),"Closed",IF($Q166="","No date",IF(INT($Q166)&lt;TODAY(),"Overdue",IF(INT($Q166)=TODAY(),"Today",IF(INT($Q166)&lt;=TODAY()+7,"Next 7 days","Later"))))))</x:f>
      </x:c>
      <x:c r="S166" s="57" t="str">
        <x:f>IF(OR($C166="",$P166=""),"",TODAY()-INT($P166))</x:f>
      </x:c>
      <x:c r="T166" s="54"/>
      <x:c r="U166" s="54"/>
      <x:c r="V166" s="63"/>
      <x:c r="W166" s="74"/>
      <x:c r="X166" s="77" t="str">
        <x:f>IF($C166="","",IFERROR(VLOOKUP($M166,'Lists &amp; Rules'!$L$5:$N$13,2,FALSE),0))</x:f>
      </x:c>
      <x:c r="Y166" s="80" t="str">
        <x:f>IF(OR($C166="",$W166=""),"",ROUND($W166*$X166,0))</x:f>
      </x:c>
      <x:c r="Z166" s="57" t="str">
        <x:f>IF($A166="","",COUNTIF('Activity Log'!$C$6:$C$1005,$A166))</x:f>
      </x:c>
      <x:c r="AA166" s="68"/>
      <x:c r="AB166" s="63"/>
    </x:row>
    <x:row r="167">
      <x:c r="A167" s="54"/>
      <x:c r="B167" s="68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  <x:c r="N167" s="54"/>
      <x:c r="O167" s="57" t="str">
        <x:f>IF($C167="","",MAX(0,MIN(100,IFERROR(VLOOKUP($L167,'Lists &amp; Rules'!$P$5:$Q$8,2,FALSE),0)+IFERROR(VLOOKUP($N167,'Lists &amp; Rules'!$S$5:$T$7,2,FALSE),0)+IFERROR(VLOOKUP($M167,'Lists &amp; Rules'!$L$5:$N$13,3,FALSE),0)+IF($R167="Overdue",-10,IF($R167="Today",5,0))+MIN(15,$Z167*3))))</x:f>
      </x:c>
      <x:c r="P167" s="71" t="str">
        <x:f>IF($A167="","",IF(COUNTIF('Activity Log'!$C$6:$C$1005,$A167)=0,"",MAXIFS('Activity Log'!$B$6:$B$1005,'Activity Log'!$C$6:$C$1005,$A167)))</x:f>
      </x:c>
      <x:c r="Q167" s="71" t="str">
        <x:f>IF($A167="","",IF(COUNTIFS('Activity Log'!$C$6:$C$1005,$A167,'Activity Log'!$J$6:$J$1005,"No",'Activity Log'!$I$6:$I$1005,"&gt;0")=0,"",MINIFS('Activity Log'!$I$6:$I$1005,'Activity Log'!$C$6:$C$1005,$A167,'Activity Log'!$J$6:$J$1005,"No",'Activity Log'!$I$6:$I$1005,"&gt;0")))</x:f>
      </x:c>
      <x:c r="R167" s="57" t="str">
        <x:f>IF($C167="","",IF(OR($K167="Won",$K167="Lost",$K167="Disqualified"),"Closed",IF($Q167="","No date",IF(INT($Q167)&lt;TODAY(),"Overdue",IF(INT($Q167)=TODAY(),"Today",IF(INT($Q167)&lt;=TODAY()+7,"Next 7 days","Later"))))))</x:f>
      </x:c>
      <x:c r="S167" s="57" t="str">
        <x:f>IF(OR($C167="",$P167=""),"",TODAY()-INT($P167))</x:f>
      </x:c>
      <x:c r="T167" s="54"/>
      <x:c r="U167" s="54"/>
      <x:c r="V167" s="63"/>
      <x:c r="W167" s="74"/>
      <x:c r="X167" s="77" t="str">
        <x:f>IF($C167="","",IFERROR(VLOOKUP($M167,'Lists &amp; Rules'!$L$5:$N$13,2,FALSE),0))</x:f>
      </x:c>
      <x:c r="Y167" s="80" t="str">
        <x:f>IF(OR($C167="",$W167=""),"",ROUND($W167*$X167,0))</x:f>
      </x:c>
      <x:c r="Z167" s="57" t="str">
        <x:f>IF($A167="","",COUNTIF('Activity Log'!$C$6:$C$1005,$A167))</x:f>
      </x:c>
      <x:c r="AA167" s="68"/>
      <x:c r="AB167" s="63"/>
    </x:row>
    <x:row r="168">
      <x:c r="A168" s="54"/>
      <x:c r="B168" s="68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  <x:c r="N168" s="54"/>
      <x:c r="O168" s="57" t="str">
        <x:f>IF($C168="","",MAX(0,MIN(100,IFERROR(VLOOKUP($L168,'Lists &amp; Rules'!$P$5:$Q$8,2,FALSE),0)+IFERROR(VLOOKUP($N168,'Lists &amp; Rules'!$S$5:$T$7,2,FALSE),0)+IFERROR(VLOOKUP($M168,'Lists &amp; Rules'!$L$5:$N$13,3,FALSE),0)+IF($R168="Overdue",-10,IF($R168="Today",5,0))+MIN(15,$Z168*3))))</x:f>
      </x:c>
      <x:c r="P168" s="71" t="str">
        <x:f>IF($A168="","",IF(COUNTIF('Activity Log'!$C$6:$C$1005,$A168)=0,"",MAXIFS('Activity Log'!$B$6:$B$1005,'Activity Log'!$C$6:$C$1005,$A168)))</x:f>
      </x:c>
      <x:c r="Q168" s="71" t="str">
        <x:f>IF($A168="","",IF(COUNTIFS('Activity Log'!$C$6:$C$1005,$A168,'Activity Log'!$J$6:$J$1005,"No",'Activity Log'!$I$6:$I$1005,"&gt;0")=0,"",MINIFS('Activity Log'!$I$6:$I$1005,'Activity Log'!$C$6:$C$1005,$A168,'Activity Log'!$J$6:$J$1005,"No",'Activity Log'!$I$6:$I$1005,"&gt;0")))</x:f>
      </x:c>
      <x:c r="R168" s="57" t="str">
        <x:f>IF($C168="","",IF(OR($K168="Won",$K168="Lost",$K168="Disqualified"),"Closed",IF($Q168="","No date",IF(INT($Q168)&lt;TODAY(),"Overdue",IF(INT($Q168)=TODAY(),"Today",IF(INT($Q168)&lt;=TODAY()+7,"Next 7 days","Later"))))))</x:f>
      </x:c>
      <x:c r="S168" s="57" t="str">
        <x:f>IF(OR($C168="",$P168=""),"",TODAY()-INT($P168))</x:f>
      </x:c>
      <x:c r="T168" s="54"/>
      <x:c r="U168" s="54"/>
      <x:c r="V168" s="63"/>
      <x:c r="W168" s="74"/>
      <x:c r="X168" s="77" t="str">
        <x:f>IF($C168="","",IFERROR(VLOOKUP($M168,'Lists &amp; Rules'!$L$5:$N$13,2,FALSE),0))</x:f>
      </x:c>
      <x:c r="Y168" s="80" t="str">
        <x:f>IF(OR($C168="",$W168=""),"",ROUND($W168*$X168,0))</x:f>
      </x:c>
      <x:c r="Z168" s="57" t="str">
        <x:f>IF($A168="","",COUNTIF('Activity Log'!$C$6:$C$1005,$A168))</x:f>
      </x:c>
      <x:c r="AA168" s="68"/>
      <x:c r="AB168" s="63"/>
    </x:row>
    <x:row r="169">
      <x:c r="A169" s="54"/>
      <x:c r="B169" s="68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  <x:c r="N169" s="54"/>
      <x:c r="O169" s="57" t="str">
        <x:f>IF($C169="","",MAX(0,MIN(100,IFERROR(VLOOKUP($L169,'Lists &amp; Rules'!$P$5:$Q$8,2,FALSE),0)+IFERROR(VLOOKUP($N169,'Lists &amp; Rules'!$S$5:$T$7,2,FALSE),0)+IFERROR(VLOOKUP($M169,'Lists &amp; Rules'!$L$5:$N$13,3,FALSE),0)+IF($R169="Overdue",-10,IF($R169="Today",5,0))+MIN(15,$Z169*3))))</x:f>
      </x:c>
      <x:c r="P169" s="71" t="str">
        <x:f>IF($A169="","",IF(COUNTIF('Activity Log'!$C$6:$C$1005,$A169)=0,"",MAXIFS('Activity Log'!$B$6:$B$1005,'Activity Log'!$C$6:$C$1005,$A169)))</x:f>
      </x:c>
      <x:c r="Q169" s="71" t="str">
        <x:f>IF($A169="","",IF(COUNTIFS('Activity Log'!$C$6:$C$1005,$A169,'Activity Log'!$J$6:$J$1005,"No",'Activity Log'!$I$6:$I$1005,"&gt;0")=0,"",MINIFS('Activity Log'!$I$6:$I$1005,'Activity Log'!$C$6:$C$1005,$A169,'Activity Log'!$J$6:$J$1005,"No",'Activity Log'!$I$6:$I$1005,"&gt;0")))</x:f>
      </x:c>
      <x:c r="R169" s="57" t="str">
        <x:f>IF($C169="","",IF(OR($K169="Won",$K169="Lost",$K169="Disqualified"),"Closed",IF($Q169="","No date",IF(INT($Q169)&lt;TODAY(),"Overdue",IF(INT($Q169)=TODAY(),"Today",IF(INT($Q169)&lt;=TODAY()+7,"Next 7 days","Later"))))))</x:f>
      </x:c>
      <x:c r="S169" s="57" t="str">
        <x:f>IF(OR($C169="",$P169=""),"",TODAY()-INT($P169))</x:f>
      </x:c>
      <x:c r="T169" s="54"/>
      <x:c r="U169" s="54"/>
      <x:c r="V169" s="63"/>
      <x:c r="W169" s="74"/>
      <x:c r="X169" s="77" t="str">
        <x:f>IF($C169="","",IFERROR(VLOOKUP($M169,'Lists &amp; Rules'!$L$5:$N$13,2,FALSE),0))</x:f>
      </x:c>
      <x:c r="Y169" s="80" t="str">
        <x:f>IF(OR($C169="",$W169=""),"",ROUND($W169*$X169,0))</x:f>
      </x:c>
      <x:c r="Z169" s="57" t="str">
        <x:f>IF($A169="","",COUNTIF('Activity Log'!$C$6:$C$1005,$A169))</x:f>
      </x:c>
      <x:c r="AA169" s="68"/>
      <x:c r="AB169" s="63"/>
    </x:row>
    <x:row r="170">
      <x:c r="A170" s="54"/>
      <x:c r="B170" s="68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  <x:c r="N170" s="54"/>
      <x:c r="O170" s="57" t="str">
        <x:f>IF($C170="","",MAX(0,MIN(100,IFERROR(VLOOKUP($L170,'Lists &amp; Rules'!$P$5:$Q$8,2,FALSE),0)+IFERROR(VLOOKUP($N170,'Lists &amp; Rules'!$S$5:$T$7,2,FALSE),0)+IFERROR(VLOOKUP($M170,'Lists &amp; Rules'!$L$5:$N$13,3,FALSE),0)+IF($R170="Overdue",-10,IF($R170="Today",5,0))+MIN(15,$Z170*3))))</x:f>
      </x:c>
      <x:c r="P170" s="71" t="str">
        <x:f>IF($A170="","",IF(COUNTIF('Activity Log'!$C$6:$C$1005,$A170)=0,"",MAXIFS('Activity Log'!$B$6:$B$1005,'Activity Log'!$C$6:$C$1005,$A170)))</x:f>
      </x:c>
      <x:c r="Q170" s="71" t="str">
        <x:f>IF($A170="","",IF(COUNTIFS('Activity Log'!$C$6:$C$1005,$A170,'Activity Log'!$J$6:$J$1005,"No",'Activity Log'!$I$6:$I$1005,"&gt;0")=0,"",MINIFS('Activity Log'!$I$6:$I$1005,'Activity Log'!$C$6:$C$1005,$A170,'Activity Log'!$J$6:$J$1005,"No",'Activity Log'!$I$6:$I$1005,"&gt;0")))</x:f>
      </x:c>
      <x:c r="R170" s="57" t="str">
        <x:f>IF($C170="","",IF(OR($K170="Won",$K170="Lost",$K170="Disqualified"),"Closed",IF($Q170="","No date",IF(INT($Q170)&lt;TODAY(),"Overdue",IF(INT($Q170)=TODAY(),"Today",IF(INT($Q170)&lt;=TODAY()+7,"Next 7 days","Later"))))))</x:f>
      </x:c>
      <x:c r="S170" s="57" t="str">
        <x:f>IF(OR($C170="",$P170=""),"",TODAY()-INT($P170))</x:f>
      </x:c>
      <x:c r="T170" s="54"/>
      <x:c r="U170" s="54"/>
      <x:c r="V170" s="63"/>
      <x:c r="W170" s="74"/>
      <x:c r="X170" s="77" t="str">
        <x:f>IF($C170="","",IFERROR(VLOOKUP($M170,'Lists &amp; Rules'!$L$5:$N$13,2,FALSE),0))</x:f>
      </x:c>
      <x:c r="Y170" s="80" t="str">
        <x:f>IF(OR($C170="",$W170=""),"",ROUND($W170*$X170,0))</x:f>
      </x:c>
      <x:c r="Z170" s="57" t="str">
        <x:f>IF($A170="","",COUNTIF('Activity Log'!$C$6:$C$1005,$A170))</x:f>
      </x:c>
      <x:c r="AA170" s="68"/>
      <x:c r="AB170" s="63"/>
    </x:row>
    <x:row r="171">
      <x:c r="A171" s="54"/>
      <x:c r="B171" s="68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  <x:c r="N171" s="54"/>
      <x:c r="O171" s="57" t="str">
        <x:f>IF($C171="","",MAX(0,MIN(100,IFERROR(VLOOKUP($L171,'Lists &amp; Rules'!$P$5:$Q$8,2,FALSE),0)+IFERROR(VLOOKUP($N171,'Lists &amp; Rules'!$S$5:$T$7,2,FALSE),0)+IFERROR(VLOOKUP($M171,'Lists &amp; Rules'!$L$5:$N$13,3,FALSE),0)+IF($R171="Overdue",-10,IF($R171="Today",5,0))+MIN(15,$Z171*3))))</x:f>
      </x:c>
      <x:c r="P171" s="71" t="str">
        <x:f>IF($A171="","",IF(COUNTIF('Activity Log'!$C$6:$C$1005,$A171)=0,"",MAXIFS('Activity Log'!$B$6:$B$1005,'Activity Log'!$C$6:$C$1005,$A171)))</x:f>
      </x:c>
      <x:c r="Q171" s="71" t="str">
        <x:f>IF($A171="","",IF(COUNTIFS('Activity Log'!$C$6:$C$1005,$A171,'Activity Log'!$J$6:$J$1005,"No",'Activity Log'!$I$6:$I$1005,"&gt;0")=0,"",MINIFS('Activity Log'!$I$6:$I$1005,'Activity Log'!$C$6:$C$1005,$A171,'Activity Log'!$J$6:$J$1005,"No",'Activity Log'!$I$6:$I$1005,"&gt;0")))</x:f>
      </x:c>
      <x:c r="R171" s="57" t="str">
        <x:f>IF($C171="","",IF(OR($K171="Won",$K171="Lost",$K171="Disqualified"),"Closed",IF($Q171="","No date",IF(INT($Q171)&lt;TODAY(),"Overdue",IF(INT($Q171)=TODAY(),"Today",IF(INT($Q171)&lt;=TODAY()+7,"Next 7 days","Later"))))))</x:f>
      </x:c>
      <x:c r="S171" s="57" t="str">
        <x:f>IF(OR($C171="",$P171=""),"",TODAY()-INT($P171))</x:f>
      </x:c>
      <x:c r="T171" s="54"/>
      <x:c r="U171" s="54"/>
      <x:c r="V171" s="63"/>
      <x:c r="W171" s="74"/>
      <x:c r="X171" s="77" t="str">
        <x:f>IF($C171="","",IFERROR(VLOOKUP($M171,'Lists &amp; Rules'!$L$5:$N$13,2,FALSE),0))</x:f>
      </x:c>
      <x:c r="Y171" s="80" t="str">
        <x:f>IF(OR($C171="",$W171=""),"",ROUND($W171*$X171,0))</x:f>
      </x:c>
      <x:c r="Z171" s="57" t="str">
        <x:f>IF($A171="","",COUNTIF('Activity Log'!$C$6:$C$1005,$A171))</x:f>
      </x:c>
      <x:c r="AA171" s="68"/>
      <x:c r="AB171" s="63"/>
    </x:row>
    <x:row r="172">
      <x:c r="A172" s="54"/>
      <x:c r="B172" s="68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  <x:c r="N172" s="54"/>
      <x:c r="O172" s="57" t="str">
        <x:f>IF($C172="","",MAX(0,MIN(100,IFERROR(VLOOKUP($L172,'Lists &amp; Rules'!$P$5:$Q$8,2,FALSE),0)+IFERROR(VLOOKUP($N172,'Lists &amp; Rules'!$S$5:$T$7,2,FALSE),0)+IFERROR(VLOOKUP($M172,'Lists &amp; Rules'!$L$5:$N$13,3,FALSE),0)+IF($R172="Overdue",-10,IF($R172="Today",5,0))+MIN(15,$Z172*3))))</x:f>
      </x:c>
      <x:c r="P172" s="71" t="str">
        <x:f>IF($A172="","",IF(COUNTIF('Activity Log'!$C$6:$C$1005,$A172)=0,"",MAXIFS('Activity Log'!$B$6:$B$1005,'Activity Log'!$C$6:$C$1005,$A172)))</x:f>
      </x:c>
      <x:c r="Q172" s="71" t="str">
        <x:f>IF($A172="","",IF(COUNTIFS('Activity Log'!$C$6:$C$1005,$A172,'Activity Log'!$J$6:$J$1005,"No",'Activity Log'!$I$6:$I$1005,"&gt;0")=0,"",MINIFS('Activity Log'!$I$6:$I$1005,'Activity Log'!$C$6:$C$1005,$A172,'Activity Log'!$J$6:$J$1005,"No",'Activity Log'!$I$6:$I$1005,"&gt;0")))</x:f>
      </x:c>
      <x:c r="R172" s="57" t="str">
        <x:f>IF($C172="","",IF(OR($K172="Won",$K172="Lost",$K172="Disqualified"),"Closed",IF($Q172="","No date",IF(INT($Q172)&lt;TODAY(),"Overdue",IF(INT($Q172)=TODAY(),"Today",IF(INT($Q172)&lt;=TODAY()+7,"Next 7 days","Later"))))))</x:f>
      </x:c>
      <x:c r="S172" s="57" t="str">
        <x:f>IF(OR($C172="",$P172=""),"",TODAY()-INT($P172))</x:f>
      </x:c>
      <x:c r="T172" s="54"/>
      <x:c r="U172" s="54"/>
      <x:c r="V172" s="63"/>
      <x:c r="W172" s="74"/>
      <x:c r="X172" s="77" t="str">
        <x:f>IF($C172="","",IFERROR(VLOOKUP($M172,'Lists &amp; Rules'!$L$5:$N$13,2,FALSE),0))</x:f>
      </x:c>
      <x:c r="Y172" s="80" t="str">
        <x:f>IF(OR($C172="",$W172=""),"",ROUND($W172*$X172,0))</x:f>
      </x:c>
      <x:c r="Z172" s="57" t="str">
        <x:f>IF($A172="","",COUNTIF('Activity Log'!$C$6:$C$1005,$A172))</x:f>
      </x:c>
      <x:c r="AA172" s="68"/>
      <x:c r="AB172" s="63"/>
    </x:row>
    <x:row r="173">
      <x:c r="A173" s="54"/>
      <x:c r="B173" s="68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  <x:c r="N173" s="54"/>
      <x:c r="O173" s="57" t="str">
        <x:f>IF($C173="","",MAX(0,MIN(100,IFERROR(VLOOKUP($L173,'Lists &amp; Rules'!$P$5:$Q$8,2,FALSE),0)+IFERROR(VLOOKUP($N173,'Lists &amp; Rules'!$S$5:$T$7,2,FALSE),0)+IFERROR(VLOOKUP($M173,'Lists &amp; Rules'!$L$5:$N$13,3,FALSE),0)+IF($R173="Overdue",-10,IF($R173="Today",5,0))+MIN(15,$Z173*3))))</x:f>
      </x:c>
      <x:c r="P173" s="71" t="str">
        <x:f>IF($A173="","",IF(COUNTIF('Activity Log'!$C$6:$C$1005,$A173)=0,"",MAXIFS('Activity Log'!$B$6:$B$1005,'Activity Log'!$C$6:$C$1005,$A173)))</x:f>
      </x:c>
      <x:c r="Q173" s="71" t="str">
        <x:f>IF($A173="","",IF(COUNTIFS('Activity Log'!$C$6:$C$1005,$A173,'Activity Log'!$J$6:$J$1005,"No",'Activity Log'!$I$6:$I$1005,"&gt;0")=0,"",MINIFS('Activity Log'!$I$6:$I$1005,'Activity Log'!$C$6:$C$1005,$A173,'Activity Log'!$J$6:$J$1005,"No",'Activity Log'!$I$6:$I$1005,"&gt;0")))</x:f>
      </x:c>
      <x:c r="R173" s="57" t="str">
        <x:f>IF($C173="","",IF(OR($K173="Won",$K173="Lost",$K173="Disqualified"),"Closed",IF($Q173="","No date",IF(INT($Q173)&lt;TODAY(),"Overdue",IF(INT($Q173)=TODAY(),"Today",IF(INT($Q173)&lt;=TODAY()+7,"Next 7 days","Later"))))))</x:f>
      </x:c>
      <x:c r="S173" s="57" t="str">
        <x:f>IF(OR($C173="",$P173=""),"",TODAY()-INT($P173))</x:f>
      </x:c>
      <x:c r="T173" s="54"/>
      <x:c r="U173" s="54"/>
      <x:c r="V173" s="63"/>
      <x:c r="W173" s="74"/>
      <x:c r="X173" s="77" t="str">
        <x:f>IF($C173="","",IFERROR(VLOOKUP($M173,'Lists &amp; Rules'!$L$5:$N$13,2,FALSE),0))</x:f>
      </x:c>
      <x:c r="Y173" s="80" t="str">
        <x:f>IF(OR($C173="",$W173=""),"",ROUND($W173*$X173,0))</x:f>
      </x:c>
      <x:c r="Z173" s="57" t="str">
        <x:f>IF($A173="","",COUNTIF('Activity Log'!$C$6:$C$1005,$A173))</x:f>
      </x:c>
      <x:c r="AA173" s="68"/>
      <x:c r="AB173" s="63"/>
    </x:row>
    <x:row r="174">
      <x:c r="A174" s="54"/>
      <x:c r="B174" s="68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  <x:c r="N174" s="54"/>
      <x:c r="O174" s="57" t="str">
        <x:f>IF($C174="","",MAX(0,MIN(100,IFERROR(VLOOKUP($L174,'Lists &amp; Rules'!$P$5:$Q$8,2,FALSE),0)+IFERROR(VLOOKUP($N174,'Lists &amp; Rules'!$S$5:$T$7,2,FALSE),0)+IFERROR(VLOOKUP($M174,'Lists &amp; Rules'!$L$5:$N$13,3,FALSE),0)+IF($R174="Overdue",-10,IF($R174="Today",5,0))+MIN(15,$Z174*3))))</x:f>
      </x:c>
      <x:c r="P174" s="71" t="str">
        <x:f>IF($A174="","",IF(COUNTIF('Activity Log'!$C$6:$C$1005,$A174)=0,"",MAXIFS('Activity Log'!$B$6:$B$1005,'Activity Log'!$C$6:$C$1005,$A174)))</x:f>
      </x:c>
      <x:c r="Q174" s="71" t="str">
        <x:f>IF($A174="","",IF(COUNTIFS('Activity Log'!$C$6:$C$1005,$A174,'Activity Log'!$J$6:$J$1005,"No",'Activity Log'!$I$6:$I$1005,"&gt;0")=0,"",MINIFS('Activity Log'!$I$6:$I$1005,'Activity Log'!$C$6:$C$1005,$A174,'Activity Log'!$J$6:$J$1005,"No",'Activity Log'!$I$6:$I$1005,"&gt;0")))</x:f>
      </x:c>
      <x:c r="R174" s="57" t="str">
        <x:f>IF($C174="","",IF(OR($K174="Won",$K174="Lost",$K174="Disqualified"),"Closed",IF($Q174="","No date",IF(INT($Q174)&lt;TODAY(),"Overdue",IF(INT($Q174)=TODAY(),"Today",IF(INT($Q174)&lt;=TODAY()+7,"Next 7 days","Later"))))))</x:f>
      </x:c>
      <x:c r="S174" s="57" t="str">
        <x:f>IF(OR($C174="",$P174=""),"",TODAY()-INT($P174))</x:f>
      </x:c>
      <x:c r="T174" s="54"/>
      <x:c r="U174" s="54"/>
      <x:c r="V174" s="63"/>
      <x:c r="W174" s="74"/>
      <x:c r="X174" s="77" t="str">
        <x:f>IF($C174="","",IFERROR(VLOOKUP($M174,'Lists &amp; Rules'!$L$5:$N$13,2,FALSE),0))</x:f>
      </x:c>
      <x:c r="Y174" s="80" t="str">
        <x:f>IF(OR($C174="",$W174=""),"",ROUND($W174*$X174,0))</x:f>
      </x:c>
      <x:c r="Z174" s="57" t="str">
        <x:f>IF($A174="","",COUNTIF('Activity Log'!$C$6:$C$1005,$A174))</x:f>
      </x:c>
      <x:c r="AA174" s="68"/>
      <x:c r="AB174" s="63"/>
    </x:row>
    <x:row r="175">
      <x:c r="A175" s="54"/>
      <x:c r="B175" s="68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  <x:c r="N175" s="54"/>
      <x:c r="O175" s="57" t="str">
        <x:f>IF($C175="","",MAX(0,MIN(100,IFERROR(VLOOKUP($L175,'Lists &amp; Rules'!$P$5:$Q$8,2,FALSE),0)+IFERROR(VLOOKUP($N175,'Lists &amp; Rules'!$S$5:$T$7,2,FALSE),0)+IFERROR(VLOOKUP($M175,'Lists &amp; Rules'!$L$5:$N$13,3,FALSE),0)+IF($R175="Overdue",-10,IF($R175="Today",5,0))+MIN(15,$Z175*3))))</x:f>
      </x:c>
      <x:c r="P175" s="71" t="str">
        <x:f>IF($A175="","",IF(COUNTIF('Activity Log'!$C$6:$C$1005,$A175)=0,"",MAXIFS('Activity Log'!$B$6:$B$1005,'Activity Log'!$C$6:$C$1005,$A175)))</x:f>
      </x:c>
      <x:c r="Q175" s="71" t="str">
        <x:f>IF($A175="","",IF(COUNTIFS('Activity Log'!$C$6:$C$1005,$A175,'Activity Log'!$J$6:$J$1005,"No",'Activity Log'!$I$6:$I$1005,"&gt;0")=0,"",MINIFS('Activity Log'!$I$6:$I$1005,'Activity Log'!$C$6:$C$1005,$A175,'Activity Log'!$J$6:$J$1005,"No",'Activity Log'!$I$6:$I$1005,"&gt;0")))</x:f>
      </x:c>
      <x:c r="R175" s="57" t="str">
        <x:f>IF($C175="","",IF(OR($K175="Won",$K175="Lost",$K175="Disqualified"),"Closed",IF($Q175="","No date",IF(INT($Q175)&lt;TODAY(),"Overdue",IF(INT($Q175)=TODAY(),"Today",IF(INT($Q175)&lt;=TODAY()+7,"Next 7 days","Later"))))))</x:f>
      </x:c>
      <x:c r="S175" s="57" t="str">
        <x:f>IF(OR($C175="",$P175=""),"",TODAY()-INT($P175))</x:f>
      </x:c>
      <x:c r="T175" s="54"/>
      <x:c r="U175" s="54"/>
      <x:c r="V175" s="63"/>
      <x:c r="W175" s="74"/>
      <x:c r="X175" s="77" t="str">
        <x:f>IF($C175="","",IFERROR(VLOOKUP($M175,'Lists &amp; Rules'!$L$5:$N$13,2,FALSE),0))</x:f>
      </x:c>
      <x:c r="Y175" s="80" t="str">
        <x:f>IF(OR($C175="",$W175=""),"",ROUND($W175*$X175,0))</x:f>
      </x:c>
      <x:c r="Z175" s="57" t="str">
        <x:f>IF($A175="","",COUNTIF('Activity Log'!$C$6:$C$1005,$A175))</x:f>
      </x:c>
      <x:c r="AA175" s="68"/>
      <x:c r="AB175" s="63"/>
    </x:row>
    <x:row r="176">
      <x:c r="A176" s="54"/>
      <x:c r="B176" s="68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  <x:c r="N176" s="54"/>
      <x:c r="O176" s="57" t="str">
        <x:f>IF($C176="","",MAX(0,MIN(100,IFERROR(VLOOKUP($L176,'Lists &amp; Rules'!$P$5:$Q$8,2,FALSE),0)+IFERROR(VLOOKUP($N176,'Lists &amp; Rules'!$S$5:$T$7,2,FALSE),0)+IFERROR(VLOOKUP($M176,'Lists &amp; Rules'!$L$5:$N$13,3,FALSE),0)+IF($R176="Overdue",-10,IF($R176="Today",5,0))+MIN(15,$Z176*3))))</x:f>
      </x:c>
      <x:c r="P176" s="71" t="str">
        <x:f>IF($A176="","",IF(COUNTIF('Activity Log'!$C$6:$C$1005,$A176)=0,"",MAXIFS('Activity Log'!$B$6:$B$1005,'Activity Log'!$C$6:$C$1005,$A176)))</x:f>
      </x:c>
      <x:c r="Q176" s="71" t="str">
        <x:f>IF($A176="","",IF(COUNTIFS('Activity Log'!$C$6:$C$1005,$A176,'Activity Log'!$J$6:$J$1005,"No",'Activity Log'!$I$6:$I$1005,"&gt;0")=0,"",MINIFS('Activity Log'!$I$6:$I$1005,'Activity Log'!$C$6:$C$1005,$A176,'Activity Log'!$J$6:$J$1005,"No",'Activity Log'!$I$6:$I$1005,"&gt;0")))</x:f>
      </x:c>
      <x:c r="R176" s="57" t="str">
        <x:f>IF($C176="","",IF(OR($K176="Won",$K176="Lost",$K176="Disqualified"),"Closed",IF($Q176="","No date",IF(INT($Q176)&lt;TODAY(),"Overdue",IF(INT($Q176)=TODAY(),"Today",IF(INT($Q176)&lt;=TODAY()+7,"Next 7 days","Later"))))))</x:f>
      </x:c>
      <x:c r="S176" s="57" t="str">
        <x:f>IF(OR($C176="",$P176=""),"",TODAY()-INT($P176))</x:f>
      </x:c>
      <x:c r="T176" s="54"/>
      <x:c r="U176" s="54"/>
      <x:c r="V176" s="63"/>
      <x:c r="W176" s="74"/>
      <x:c r="X176" s="77" t="str">
        <x:f>IF($C176="","",IFERROR(VLOOKUP($M176,'Lists &amp; Rules'!$L$5:$N$13,2,FALSE),0))</x:f>
      </x:c>
      <x:c r="Y176" s="80" t="str">
        <x:f>IF(OR($C176="",$W176=""),"",ROUND($W176*$X176,0))</x:f>
      </x:c>
      <x:c r="Z176" s="57" t="str">
        <x:f>IF($A176="","",COUNTIF('Activity Log'!$C$6:$C$1005,$A176))</x:f>
      </x:c>
      <x:c r="AA176" s="68"/>
      <x:c r="AB176" s="63"/>
    </x:row>
    <x:row r="177">
      <x:c r="A177" s="54"/>
      <x:c r="B177" s="68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  <x:c r="N177" s="54"/>
      <x:c r="O177" s="57" t="str">
        <x:f>IF($C177="","",MAX(0,MIN(100,IFERROR(VLOOKUP($L177,'Lists &amp; Rules'!$P$5:$Q$8,2,FALSE),0)+IFERROR(VLOOKUP($N177,'Lists &amp; Rules'!$S$5:$T$7,2,FALSE),0)+IFERROR(VLOOKUP($M177,'Lists &amp; Rules'!$L$5:$N$13,3,FALSE),0)+IF($R177="Overdue",-10,IF($R177="Today",5,0))+MIN(15,$Z177*3))))</x:f>
      </x:c>
      <x:c r="P177" s="71" t="str">
        <x:f>IF($A177="","",IF(COUNTIF('Activity Log'!$C$6:$C$1005,$A177)=0,"",MAXIFS('Activity Log'!$B$6:$B$1005,'Activity Log'!$C$6:$C$1005,$A177)))</x:f>
      </x:c>
      <x:c r="Q177" s="71" t="str">
        <x:f>IF($A177="","",IF(COUNTIFS('Activity Log'!$C$6:$C$1005,$A177,'Activity Log'!$J$6:$J$1005,"No",'Activity Log'!$I$6:$I$1005,"&gt;0")=0,"",MINIFS('Activity Log'!$I$6:$I$1005,'Activity Log'!$C$6:$C$1005,$A177,'Activity Log'!$J$6:$J$1005,"No",'Activity Log'!$I$6:$I$1005,"&gt;0")))</x:f>
      </x:c>
      <x:c r="R177" s="57" t="str">
        <x:f>IF($C177="","",IF(OR($K177="Won",$K177="Lost",$K177="Disqualified"),"Closed",IF($Q177="","No date",IF(INT($Q177)&lt;TODAY(),"Overdue",IF(INT($Q177)=TODAY(),"Today",IF(INT($Q177)&lt;=TODAY()+7,"Next 7 days","Later"))))))</x:f>
      </x:c>
      <x:c r="S177" s="57" t="str">
        <x:f>IF(OR($C177="",$P177=""),"",TODAY()-INT($P177))</x:f>
      </x:c>
      <x:c r="T177" s="54"/>
      <x:c r="U177" s="54"/>
      <x:c r="V177" s="63"/>
      <x:c r="W177" s="74"/>
      <x:c r="X177" s="77" t="str">
        <x:f>IF($C177="","",IFERROR(VLOOKUP($M177,'Lists &amp; Rules'!$L$5:$N$13,2,FALSE),0))</x:f>
      </x:c>
      <x:c r="Y177" s="80" t="str">
        <x:f>IF(OR($C177="",$W177=""),"",ROUND($W177*$X177,0))</x:f>
      </x:c>
      <x:c r="Z177" s="57" t="str">
        <x:f>IF($A177="","",COUNTIF('Activity Log'!$C$6:$C$1005,$A177))</x:f>
      </x:c>
      <x:c r="AA177" s="68"/>
      <x:c r="AB177" s="63"/>
    </x:row>
    <x:row r="178">
      <x:c r="A178" s="54"/>
      <x:c r="B178" s="68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  <x:c r="N178" s="54"/>
      <x:c r="O178" s="57" t="str">
        <x:f>IF($C178="","",MAX(0,MIN(100,IFERROR(VLOOKUP($L178,'Lists &amp; Rules'!$P$5:$Q$8,2,FALSE),0)+IFERROR(VLOOKUP($N178,'Lists &amp; Rules'!$S$5:$T$7,2,FALSE),0)+IFERROR(VLOOKUP($M178,'Lists &amp; Rules'!$L$5:$N$13,3,FALSE),0)+IF($R178="Overdue",-10,IF($R178="Today",5,0))+MIN(15,$Z178*3))))</x:f>
      </x:c>
      <x:c r="P178" s="71" t="str">
        <x:f>IF($A178="","",IF(COUNTIF('Activity Log'!$C$6:$C$1005,$A178)=0,"",MAXIFS('Activity Log'!$B$6:$B$1005,'Activity Log'!$C$6:$C$1005,$A178)))</x:f>
      </x:c>
      <x:c r="Q178" s="71" t="str">
        <x:f>IF($A178="","",IF(COUNTIFS('Activity Log'!$C$6:$C$1005,$A178,'Activity Log'!$J$6:$J$1005,"No",'Activity Log'!$I$6:$I$1005,"&gt;0")=0,"",MINIFS('Activity Log'!$I$6:$I$1005,'Activity Log'!$C$6:$C$1005,$A178,'Activity Log'!$J$6:$J$1005,"No",'Activity Log'!$I$6:$I$1005,"&gt;0")))</x:f>
      </x:c>
      <x:c r="R178" s="57" t="str">
        <x:f>IF($C178="","",IF(OR($K178="Won",$K178="Lost",$K178="Disqualified"),"Closed",IF($Q178="","No date",IF(INT($Q178)&lt;TODAY(),"Overdue",IF(INT($Q178)=TODAY(),"Today",IF(INT($Q178)&lt;=TODAY()+7,"Next 7 days","Later"))))))</x:f>
      </x:c>
      <x:c r="S178" s="57" t="str">
        <x:f>IF(OR($C178="",$P178=""),"",TODAY()-INT($P178))</x:f>
      </x:c>
      <x:c r="T178" s="54"/>
      <x:c r="U178" s="54"/>
      <x:c r="V178" s="63"/>
      <x:c r="W178" s="74"/>
      <x:c r="X178" s="77" t="str">
        <x:f>IF($C178="","",IFERROR(VLOOKUP($M178,'Lists &amp; Rules'!$L$5:$N$13,2,FALSE),0))</x:f>
      </x:c>
      <x:c r="Y178" s="80" t="str">
        <x:f>IF(OR($C178="",$W178=""),"",ROUND($W178*$X178,0))</x:f>
      </x:c>
      <x:c r="Z178" s="57" t="str">
        <x:f>IF($A178="","",COUNTIF('Activity Log'!$C$6:$C$1005,$A178))</x:f>
      </x:c>
      <x:c r="AA178" s="68"/>
      <x:c r="AB178" s="63"/>
    </x:row>
    <x:row r="179">
      <x:c r="A179" s="54"/>
      <x:c r="B179" s="68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  <x:c r="N179" s="54"/>
      <x:c r="O179" s="57" t="str">
        <x:f>IF($C179="","",MAX(0,MIN(100,IFERROR(VLOOKUP($L179,'Lists &amp; Rules'!$P$5:$Q$8,2,FALSE),0)+IFERROR(VLOOKUP($N179,'Lists &amp; Rules'!$S$5:$T$7,2,FALSE),0)+IFERROR(VLOOKUP($M179,'Lists &amp; Rules'!$L$5:$N$13,3,FALSE),0)+IF($R179="Overdue",-10,IF($R179="Today",5,0))+MIN(15,$Z179*3))))</x:f>
      </x:c>
      <x:c r="P179" s="71" t="str">
        <x:f>IF($A179="","",IF(COUNTIF('Activity Log'!$C$6:$C$1005,$A179)=0,"",MAXIFS('Activity Log'!$B$6:$B$1005,'Activity Log'!$C$6:$C$1005,$A179)))</x:f>
      </x:c>
      <x:c r="Q179" s="71" t="str">
        <x:f>IF($A179="","",IF(COUNTIFS('Activity Log'!$C$6:$C$1005,$A179,'Activity Log'!$J$6:$J$1005,"No",'Activity Log'!$I$6:$I$1005,"&gt;0")=0,"",MINIFS('Activity Log'!$I$6:$I$1005,'Activity Log'!$C$6:$C$1005,$A179,'Activity Log'!$J$6:$J$1005,"No",'Activity Log'!$I$6:$I$1005,"&gt;0")))</x:f>
      </x:c>
      <x:c r="R179" s="57" t="str">
        <x:f>IF($C179="","",IF(OR($K179="Won",$K179="Lost",$K179="Disqualified"),"Closed",IF($Q179="","No date",IF(INT($Q179)&lt;TODAY(),"Overdue",IF(INT($Q179)=TODAY(),"Today",IF(INT($Q179)&lt;=TODAY()+7,"Next 7 days","Later"))))))</x:f>
      </x:c>
      <x:c r="S179" s="57" t="str">
        <x:f>IF(OR($C179="",$P179=""),"",TODAY()-INT($P179))</x:f>
      </x:c>
      <x:c r="T179" s="54"/>
      <x:c r="U179" s="54"/>
      <x:c r="V179" s="63"/>
      <x:c r="W179" s="74"/>
      <x:c r="X179" s="77" t="str">
        <x:f>IF($C179="","",IFERROR(VLOOKUP($M179,'Lists &amp; Rules'!$L$5:$N$13,2,FALSE),0))</x:f>
      </x:c>
      <x:c r="Y179" s="80" t="str">
        <x:f>IF(OR($C179="",$W179=""),"",ROUND($W179*$X179,0))</x:f>
      </x:c>
      <x:c r="Z179" s="57" t="str">
        <x:f>IF($A179="","",COUNTIF('Activity Log'!$C$6:$C$1005,$A179))</x:f>
      </x:c>
      <x:c r="AA179" s="68"/>
      <x:c r="AB179" s="63"/>
    </x:row>
    <x:row r="180">
      <x:c r="A180" s="54"/>
      <x:c r="B180" s="68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  <x:c r="N180" s="54"/>
      <x:c r="O180" s="57" t="str">
        <x:f>IF($C180="","",MAX(0,MIN(100,IFERROR(VLOOKUP($L180,'Lists &amp; Rules'!$P$5:$Q$8,2,FALSE),0)+IFERROR(VLOOKUP($N180,'Lists &amp; Rules'!$S$5:$T$7,2,FALSE),0)+IFERROR(VLOOKUP($M180,'Lists &amp; Rules'!$L$5:$N$13,3,FALSE),0)+IF($R180="Overdue",-10,IF($R180="Today",5,0))+MIN(15,$Z180*3))))</x:f>
      </x:c>
      <x:c r="P180" s="71" t="str">
        <x:f>IF($A180="","",IF(COUNTIF('Activity Log'!$C$6:$C$1005,$A180)=0,"",MAXIFS('Activity Log'!$B$6:$B$1005,'Activity Log'!$C$6:$C$1005,$A180)))</x:f>
      </x:c>
      <x:c r="Q180" s="71" t="str">
        <x:f>IF($A180="","",IF(COUNTIFS('Activity Log'!$C$6:$C$1005,$A180,'Activity Log'!$J$6:$J$1005,"No",'Activity Log'!$I$6:$I$1005,"&gt;0")=0,"",MINIFS('Activity Log'!$I$6:$I$1005,'Activity Log'!$C$6:$C$1005,$A180,'Activity Log'!$J$6:$J$1005,"No",'Activity Log'!$I$6:$I$1005,"&gt;0")))</x:f>
      </x:c>
      <x:c r="R180" s="57" t="str">
        <x:f>IF($C180="","",IF(OR($K180="Won",$K180="Lost",$K180="Disqualified"),"Closed",IF($Q180="","No date",IF(INT($Q180)&lt;TODAY(),"Overdue",IF(INT($Q180)=TODAY(),"Today",IF(INT($Q180)&lt;=TODAY()+7,"Next 7 days","Later"))))))</x:f>
      </x:c>
      <x:c r="S180" s="57" t="str">
        <x:f>IF(OR($C180="",$P180=""),"",TODAY()-INT($P180))</x:f>
      </x:c>
      <x:c r="T180" s="54"/>
      <x:c r="U180" s="54"/>
      <x:c r="V180" s="63"/>
      <x:c r="W180" s="74"/>
      <x:c r="X180" s="77" t="str">
        <x:f>IF($C180="","",IFERROR(VLOOKUP($M180,'Lists &amp; Rules'!$L$5:$N$13,2,FALSE),0))</x:f>
      </x:c>
      <x:c r="Y180" s="80" t="str">
        <x:f>IF(OR($C180="",$W180=""),"",ROUND($W180*$X180,0))</x:f>
      </x:c>
      <x:c r="Z180" s="57" t="str">
        <x:f>IF($A180="","",COUNTIF('Activity Log'!$C$6:$C$1005,$A180))</x:f>
      </x:c>
      <x:c r="AA180" s="68"/>
      <x:c r="AB180" s="63"/>
    </x:row>
    <x:row r="181">
      <x:c r="A181" s="54"/>
      <x:c r="B181" s="68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  <x:c r="N181" s="54"/>
      <x:c r="O181" s="57" t="str">
        <x:f>IF($C181="","",MAX(0,MIN(100,IFERROR(VLOOKUP($L181,'Lists &amp; Rules'!$P$5:$Q$8,2,FALSE),0)+IFERROR(VLOOKUP($N181,'Lists &amp; Rules'!$S$5:$T$7,2,FALSE),0)+IFERROR(VLOOKUP($M181,'Lists &amp; Rules'!$L$5:$N$13,3,FALSE),0)+IF($R181="Overdue",-10,IF($R181="Today",5,0))+MIN(15,$Z181*3))))</x:f>
      </x:c>
      <x:c r="P181" s="71" t="str">
        <x:f>IF($A181="","",IF(COUNTIF('Activity Log'!$C$6:$C$1005,$A181)=0,"",MAXIFS('Activity Log'!$B$6:$B$1005,'Activity Log'!$C$6:$C$1005,$A181)))</x:f>
      </x:c>
      <x:c r="Q181" s="71" t="str">
        <x:f>IF($A181="","",IF(COUNTIFS('Activity Log'!$C$6:$C$1005,$A181,'Activity Log'!$J$6:$J$1005,"No",'Activity Log'!$I$6:$I$1005,"&gt;0")=0,"",MINIFS('Activity Log'!$I$6:$I$1005,'Activity Log'!$C$6:$C$1005,$A181,'Activity Log'!$J$6:$J$1005,"No",'Activity Log'!$I$6:$I$1005,"&gt;0")))</x:f>
      </x:c>
      <x:c r="R181" s="57" t="str">
        <x:f>IF($C181="","",IF(OR($K181="Won",$K181="Lost",$K181="Disqualified"),"Closed",IF($Q181="","No date",IF(INT($Q181)&lt;TODAY(),"Overdue",IF(INT($Q181)=TODAY(),"Today",IF(INT($Q181)&lt;=TODAY()+7,"Next 7 days","Later"))))))</x:f>
      </x:c>
      <x:c r="S181" s="57" t="str">
        <x:f>IF(OR($C181="",$P181=""),"",TODAY()-INT($P181))</x:f>
      </x:c>
      <x:c r="T181" s="54"/>
      <x:c r="U181" s="54"/>
      <x:c r="V181" s="63"/>
      <x:c r="W181" s="74"/>
      <x:c r="X181" s="77" t="str">
        <x:f>IF($C181="","",IFERROR(VLOOKUP($M181,'Lists &amp; Rules'!$L$5:$N$13,2,FALSE),0))</x:f>
      </x:c>
      <x:c r="Y181" s="80" t="str">
        <x:f>IF(OR($C181="",$W181=""),"",ROUND($W181*$X181,0))</x:f>
      </x:c>
      <x:c r="Z181" s="57" t="str">
        <x:f>IF($A181="","",COUNTIF('Activity Log'!$C$6:$C$1005,$A181))</x:f>
      </x:c>
      <x:c r="AA181" s="68"/>
      <x:c r="AB181" s="63"/>
    </x:row>
    <x:row r="182">
      <x:c r="A182" s="54"/>
      <x:c r="B182" s="68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  <x:c r="N182" s="54"/>
      <x:c r="O182" s="57" t="str">
        <x:f>IF($C182="","",MAX(0,MIN(100,IFERROR(VLOOKUP($L182,'Lists &amp; Rules'!$P$5:$Q$8,2,FALSE),0)+IFERROR(VLOOKUP($N182,'Lists &amp; Rules'!$S$5:$T$7,2,FALSE),0)+IFERROR(VLOOKUP($M182,'Lists &amp; Rules'!$L$5:$N$13,3,FALSE),0)+IF($R182="Overdue",-10,IF($R182="Today",5,0))+MIN(15,$Z182*3))))</x:f>
      </x:c>
      <x:c r="P182" s="71" t="str">
        <x:f>IF($A182="","",IF(COUNTIF('Activity Log'!$C$6:$C$1005,$A182)=0,"",MAXIFS('Activity Log'!$B$6:$B$1005,'Activity Log'!$C$6:$C$1005,$A182)))</x:f>
      </x:c>
      <x:c r="Q182" s="71" t="str">
        <x:f>IF($A182="","",IF(COUNTIFS('Activity Log'!$C$6:$C$1005,$A182,'Activity Log'!$J$6:$J$1005,"No",'Activity Log'!$I$6:$I$1005,"&gt;0")=0,"",MINIFS('Activity Log'!$I$6:$I$1005,'Activity Log'!$C$6:$C$1005,$A182,'Activity Log'!$J$6:$J$1005,"No",'Activity Log'!$I$6:$I$1005,"&gt;0")))</x:f>
      </x:c>
      <x:c r="R182" s="57" t="str">
        <x:f>IF($C182="","",IF(OR($K182="Won",$K182="Lost",$K182="Disqualified"),"Closed",IF($Q182="","No date",IF(INT($Q182)&lt;TODAY(),"Overdue",IF(INT($Q182)=TODAY(),"Today",IF(INT($Q182)&lt;=TODAY()+7,"Next 7 days","Later"))))))</x:f>
      </x:c>
      <x:c r="S182" s="57" t="str">
        <x:f>IF(OR($C182="",$P182=""),"",TODAY()-INT($P182))</x:f>
      </x:c>
      <x:c r="T182" s="54"/>
      <x:c r="U182" s="54"/>
      <x:c r="V182" s="63"/>
      <x:c r="W182" s="74"/>
      <x:c r="X182" s="77" t="str">
        <x:f>IF($C182="","",IFERROR(VLOOKUP($M182,'Lists &amp; Rules'!$L$5:$N$13,2,FALSE),0))</x:f>
      </x:c>
      <x:c r="Y182" s="80" t="str">
        <x:f>IF(OR($C182="",$W182=""),"",ROUND($W182*$X182,0))</x:f>
      </x:c>
      <x:c r="Z182" s="57" t="str">
        <x:f>IF($A182="","",COUNTIF('Activity Log'!$C$6:$C$1005,$A182))</x:f>
      </x:c>
      <x:c r="AA182" s="68"/>
      <x:c r="AB182" s="63"/>
    </x:row>
    <x:row r="183">
      <x:c r="A183" s="54"/>
      <x:c r="B183" s="68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  <x:c r="N183" s="54"/>
      <x:c r="O183" s="57" t="str">
        <x:f>IF($C183="","",MAX(0,MIN(100,IFERROR(VLOOKUP($L183,'Lists &amp; Rules'!$P$5:$Q$8,2,FALSE),0)+IFERROR(VLOOKUP($N183,'Lists &amp; Rules'!$S$5:$T$7,2,FALSE),0)+IFERROR(VLOOKUP($M183,'Lists &amp; Rules'!$L$5:$N$13,3,FALSE),0)+IF($R183="Overdue",-10,IF($R183="Today",5,0))+MIN(15,$Z183*3))))</x:f>
      </x:c>
      <x:c r="P183" s="71" t="str">
        <x:f>IF($A183="","",IF(COUNTIF('Activity Log'!$C$6:$C$1005,$A183)=0,"",MAXIFS('Activity Log'!$B$6:$B$1005,'Activity Log'!$C$6:$C$1005,$A183)))</x:f>
      </x:c>
      <x:c r="Q183" s="71" t="str">
        <x:f>IF($A183="","",IF(COUNTIFS('Activity Log'!$C$6:$C$1005,$A183,'Activity Log'!$J$6:$J$1005,"No",'Activity Log'!$I$6:$I$1005,"&gt;0")=0,"",MINIFS('Activity Log'!$I$6:$I$1005,'Activity Log'!$C$6:$C$1005,$A183,'Activity Log'!$J$6:$J$1005,"No",'Activity Log'!$I$6:$I$1005,"&gt;0")))</x:f>
      </x:c>
      <x:c r="R183" s="57" t="str">
        <x:f>IF($C183="","",IF(OR($K183="Won",$K183="Lost",$K183="Disqualified"),"Closed",IF($Q183="","No date",IF(INT($Q183)&lt;TODAY(),"Overdue",IF(INT($Q183)=TODAY(),"Today",IF(INT($Q183)&lt;=TODAY()+7,"Next 7 days","Later"))))))</x:f>
      </x:c>
      <x:c r="S183" s="57" t="str">
        <x:f>IF(OR($C183="",$P183=""),"",TODAY()-INT($P183))</x:f>
      </x:c>
      <x:c r="T183" s="54"/>
      <x:c r="U183" s="54"/>
      <x:c r="V183" s="63"/>
      <x:c r="W183" s="74"/>
      <x:c r="X183" s="77" t="str">
        <x:f>IF($C183="","",IFERROR(VLOOKUP($M183,'Lists &amp; Rules'!$L$5:$N$13,2,FALSE),0))</x:f>
      </x:c>
      <x:c r="Y183" s="80" t="str">
        <x:f>IF(OR($C183="",$W183=""),"",ROUND($W183*$X183,0))</x:f>
      </x:c>
      <x:c r="Z183" s="57" t="str">
        <x:f>IF($A183="","",COUNTIF('Activity Log'!$C$6:$C$1005,$A183))</x:f>
      </x:c>
      <x:c r="AA183" s="68"/>
      <x:c r="AB183" s="63"/>
    </x:row>
    <x:row r="184">
      <x:c r="A184" s="54"/>
      <x:c r="B184" s="68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  <x:c r="N184" s="54"/>
      <x:c r="O184" s="57" t="str">
        <x:f>IF($C184="","",MAX(0,MIN(100,IFERROR(VLOOKUP($L184,'Lists &amp; Rules'!$P$5:$Q$8,2,FALSE),0)+IFERROR(VLOOKUP($N184,'Lists &amp; Rules'!$S$5:$T$7,2,FALSE),0)+IFERROR(VLOOKUP($M184,'Lists &amp; Rules'!$L$5:$N$13,3,FALSE),0)+IF($R184="Overdue",-10,IF($R184="Today",5,0))+MIN(15,$Z184*3))))</x:f>
      </x:c>
      <x:c r="P184" s="71" t="str">
        <x:f>IF($A184="","",IF(COUNTIF('Activity Log'!$C$6:$C$1005,$A184)=0,"",MAXIFS('Activity Log'!$B$6:$B$1005,'Activity Log'!$C$6:$C$1005,$A184)))</x:f>
      </x:c>
      <x:c r="Q184" s="71" t="str">
        <x:f>IF($A184="","",IF(COUNTIFS('Activity Log'!$C$6:$C$1005,$A184,'Activity Log'!$J$6:$J$1005,"No",'Activity Log'!$I$6:$I$1005,"&gt;0")=0,"",MINIFS('Activity Log'!$I$6:$I$1005,'Activity Log'!$C$6:$C$1005,$A184,'Activity Log'!$J$6:$J$1005,"No",'Activity Log'!$I$6:$I$1005,"&gt;0")))</x:f>
      </x:c>
      <x:c r="R184" s="57" t="str">
        <x:f>IF($C184="","",IF(OR($K184="Won",$K184="Lost",$K184="Disqualified"),"Closed",IF($Q184="","No date",IF(INT($Q184)&lt;TODAY(),"Overdue",IF(INT($Q184)=TODAY(),"Today",IF(INT($Q184)&lt;=TODAY()+7,"Next 7 days","Later"))))))</x:f>
      </x:c>
      <x:c r="S184" s="57" t="str">
        <x:f>IF(OR($C184="",$P184=""),"",TODAY()-INT($P184))</x:f>
      </x:c>
      <x:c r="T184" s="54"/>
      <x:c r="U184" s="54"/>
      <x:c r="V184" s="63"/>
      <x:c r="W184" s="74"/>
      <x:c r="X184" s="77" t="str">
        <x:f>IF($C184="","",IFERROR(VLOOKUP($M184,'Lists &amp; Rules'!$L$5:$N$13,2,FALSE),0))</x:f>
      </x:c>
      <x:c r="Y184" s="80" t="str">
        <x:f>IF(OR($C184="",$W184=""),"",ROUND($W184*$X184,0))</x:f>
      </x:c>
      <x:c r="Z184" s="57" t="str">
        <x:f>IF($A184="","",COUNTIF('Activity Log'!$C$6:$C$1005,$A184))</x:f>
      </x:c>
      <x:c r="AA184" s="68"/>
      <x:c r="AB184" s="63"/>
    </x:row>
    <x:row r="185">
      <x:c r="A185" s="54"/>
      <x:c r="B185" s="68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  <x:c r="N185" s="54"/>
      <x:c r="O185" s="57" t="str">
        <x:f>IF($C185="","",MAX(0,MIN(100,IFERROR(VLOOKUP($L185,'Lists &amp; Rules'!$P$5:$Q$8,2,FALSE),0)+IFERROR(VLOOKUP($N185,'Lists &amp; Rules'!$S$5:$T$7,2,FALSE),0)+IFERROR(VLOOKUP($M185,'Lists &amp; Rules'!$L$5:$N$13,3,FALSE),0)+IF($R185="Overdue",-10,IF($R185="Today",5,0))+MIN(15,$Z185*3))))</x:f>
      </x:c>
      <x:c r="P185" s="71" t="str">
        <x:f>IF($A185="","",IF(COUNTIF('Activity Log'!$C$6:$C$1005,$A185)=0,"",MAXIFS('Activity Log'!$B$6:$B$1005,'Activity Log'!$C$6:$C$1005,$A185)))</x:f>
      </x:c>
      <x:c r="Q185" s="71" t="str">
        <x:f>IF($A185="","",IF(COUNTIFS('Activity Log'!$C$6:$C$1005,$A185,'Activity Log'!$J$6:$J$1005,"No",'Activity Log'!$I$6:$I$1005,"&gt;0")=0,"",MINIFS('Activity Log'!$I$6:$I$1005,'Activity Log'!$C$6:$C$1005,$A185,'Activity Log'!$J$6:$J$1005,"No",'Activity Log'!$I$6:$I$1005,"&gt;0")))</x:f>
      </x:c>
      <x:c r="R185" s="57" t="str">
        <x:f>IF($C185="","",IF(OR($K185="Won",$K185="Lost",$K185="Disqualified"),"Closed",IF($Q185="","No date",IF(INT($Q185)&lt;TODAY(),"Overdue",IF(INT($Q185)=TODAY(),"Today",IF(INT($Q185)&lt;=TODAY()+7,"Next 7 days","Later"))))))</x:f>
      </x:c>
      <x:c r="S185" s="57" t="str">
        <x:f>IF(OR($C185="",$P185=""),"",TODAY()-INT($P185))</x:f>
      </x:c>
      <x:c r="T185" s="54"/>
      <x:c r="U185" s="54"/>
      <x:c r="V185" s="63"/>
      <x:c r="W185" s="74"/>
      <x:c r="X185" s="77" t="str">
        <x:f>IF($C185="","",IFERROR(VLOOKUP($M185,'Lists &amp; Rules'!$L$5:$N$13,2,FALSE),0))</x:f>
      </x:c>
      <x:c r="Y185" s="80" t="str">
        <x:f>IF(OR($C185="",$W185=""),"",ROUND($W185*$X185,0))</x:f>
      </x:c>
      <x:c r="Z185" s="57" t="str">
        <x:f>IF($A185="","",COUNTIF('Activity Log'!$C$6:$C$1005,$A185))</x:f>
      </x:c>
      <x:c r="AA185" s="68"/>
      <x:c r="AB185" s="63"/>
    </x:row>
    <x:row r="186">
      <x:c r="A186" s="54"/>
      <x:c r="B186" s="68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  <x:c r="N186" s="54"/>
      <x:c r="O186" s="57" t="str">
        <x:f>IF($C186="","",MAX(0,MIN(100,IFERROR(VLOOKUP($L186,'Lists &amp; Rules'!$P$5:$Q$8,2,FALSE),0)+IFERROR(VLOOKUP($N186,'Lists &amp; Rules'!$S$5:$T$7,2,FALSE),0)+IFERROR(VLOOKUP($M186,'Lists &amp; Rules'!$L$5:$N$13,3,FALSE),0)+IF($R186="Overdue",-10,IF($R186="Today",5,0))+MIN(15,$Z186*3))))</x:f>
      </x:c>
      <x:c r="P186" s="71" t="str">
        <x:f>IF($A186="","",IF(COUNTIF('Activity Log'!$C$6:$C$1005,$A186)=0,"",MAXIFS('Activity Log'!$B$6:$B$1005,'Activity Log'!$C$6:$C$1005,$A186)))</x:f>
      </x:c>
      <x:c r="Q186" s="71" t="str">
        <x:f>IF($A186="","",IF(COUNTIFS('Activity Log'!$C$6:$C$1005,$A186,'Activity Log'!$J$6:$J$1005,"No",'Activity Log'!$I$6:$I$1005,"&gt;0")=0,"",MINIFS('Activity Log'!$I$6:$I$1005,'Activity Log'!$C$6:$C$1005,$A186,'Activity Log'!$J$6:$J$1005,"No",'Activity Log'!$I$6:$I$1005,"&gt;0")))</x:f>
      </x:c>
      <x:c r="R186" s="57" t="str">
        <x:f>IF($C186="","",IF(OR($K186="Won",$K186="Lost",$K186="Disqualified"),"Closed",IF($Q186="","No date",IF(INT($Q186)&lt;TODAY(),"Overdue",IF(INT($Q186)=TODAY(),"Today",IF(INT($Q186)&lt;=TODAY()+7,"Next 7 days","Later"))))))</x:f>
      </x:c>
      <x:c r="S186" s="57" t="str">
        <x:f>IF(OR($C186="",$P186=""),"",TODAY()-INT($P186))</x:f>
      </x:c>
      <x:c r="T186" s="54"/>
      <x:c r="U186" s="54"/>
      <x:c r="V186" s="63"/>
      <x:c r="W186" s="74"/>
      <x:c r="X186" s="77" t="str">
        <x:f>IF($C186="","",IFERROR(VLOOKUP($M186,'Lists &amp; Rules'!$L$5:$N$13,2,FALSE),0))</x:f>
      </x:c>
      <x:c r="Y186" s="80" t="str">
        <x:f>IF(OR($C186="",$W186=""),"",ROUND($W186*$X186,0))</x:f>
      </x:c>
      <x:c r="Z186" s="57" t="str">
        <x:f>IF($A186="","",COUNTIF('Activity Log'!$C$6:$C$1005,$A186))</x:f>
      </x:c>
      <x:c r="AA186" s="68"/>
      <x:c r="AB186" s="63"/>
    </x:row>
    <x:row r="187">
      <x:c r="A187" s="54"/>
      <x:c r="B187" s="68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  <x:c r="N187" s="54"/>
      <x:c r="O187" s="57" t="str">
        <x:f>IF($C187="","",MAX(0,MIN(100,IFERROR(VLOOKUP($L187,'Lists &amp; Rules'!$P$5:$Q$8,2,FALSE),0)+IFERROR(VLOOKUP($N187,'Lists &amp; Rules'!$S$5:$T$7,2,FALSE),0)+IFERROR(VLOOKUP($M187,'Lists &amp; Rules'!$L$5:$N$13,3,FALSE),0)+IF($R187="Overdue",-10,IF($R187="Today",5,0))+MIN(15,$Z187*3))))</x:f>
      </x:c>
      <x:c r="P187" s="71" t="str">
        <x:f>IF($A187="","",IF(COUNTIF('Activity Log'!$C$6:$C$1005,$A187)=0,"",MAXIFS('Activity Log'!$B$6:$B$1005,'Activity Log'!$C$6:$C$1005,$A187)))</x:f>
      </x:c>
      <x:c r="Q187" s="71" t="str">
        <x:f>IF($A187="","",IF(COUNTIFS('Activity Log'!$C$6:$C$1005,$A187,'Activity Log'!$J$6:$J$1005,"No",'Activity Log'!$I$6:$I$1005,"&gt;0")=0,"",MINIFS('Activity Log'!$I$6:$I$1005,'Activity Log'!$C$6:$C$1005,$A187,'Activity Log'!$J$6:$J$1005,"No",'Activity Log'!$I$6:$I$1005,"&gt;0")))</x:f>
      </x:c>
      <x:c r="R187" s="57" t="str">
        <x:f>IF($C187="","",IF(OR($K187="Won",$K187="Lost",$K187="Disqualified"),"Closed",IF($Q187="","No date",IF(INT($Q187)&lt;TODAY(),"Overdue",IF(INT($Q187)=TODAY(),"Today",IF(INT($Q187)&lt;=TODAY()+7,"Next 7 days","Later"))))))</x:f>
      </x:c>
      <x:c r="S187" s="57" t="str">
        <x:f>IF(OR($C187="",$P187=""),"",TODAY()-INT($P187))</x:f>
      </x:c>
      <x:c r="T187" s="54"/>
      <x:c r="U187" s="54"/>
      <x:c r="V187" s="63"/>
      <x:c r="W187" s="74"/>
      <x:c r="X187" s="77" t="str">
        <x:f>IF($C187="","",IFERROR(VLOOKUP($M187,'Lists &amp; Rules'!$L$5:$N$13,2,FALSE),0))</x:f>
      </x:c>
      <x:c r="Y187" s="80" t="str">
        <x:f>IF(OR($C187="",$W187=""),"",ROUND($W187*$X187,0))</x:f>
      </x:c>
      <x:c r="Z187" s="57" t="str">
        <x:f>IF($A187="","",COUNTIF('Activity Log'!$C$6:$C$1005,$A187))</x:f>
      </x:c>
      <x:c r="AA187" s="68"/>
      <x:c r="AB187" s="63"/>
    </x:row>
    <x:row r="188">
      <x:c r="A188" s="54"/>
      <x:c r="B188" s="68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  <x:c r="N188" s="54"/>
      <x:c r="O188" s="57" t="str">
        <x:f>IF($C188="","",MAX(0,MIN(100,IFERROR(VLOOKUP($L188,'Lists &amp; Rules'!$P$5:$Q$8,2,FALSE),0)+IFERROR(VLOOKUP($N188,'Lists &amp; Rules'!$S$5:$T$7,2,FALSE),0)+IFERROR(VLOOKUP($M188,'Lists &amp; Rules'!$L$5:$N$13,3,FALSE),0)+IF($R188="Overdue",-10,IF($R188="Today",5,0))+MIN(15,$Z188*3))))</x:f>
      </x:c>
      <x:c r="P188" s="71" t="str">
        <x:f>IF($A188="","",IF(COUNTIF('Activity Log'!$C$6:$C$1005,$A188)=0,"",MAXIFS('Activity Log'!$B$6:$B$1005,'Activity Log'!$C$6:$C$1005,$A188)))</x:f>
      </x:c>
      <x:c r="Q188" s="71" t="str">
        <x:f>IF($A188="","",IF(COUNTIFS('Activity Log'!$C$6:$C$1005,$A188,'Activity Log'!$J$6:$J$1005,"No",'Activity Log'!$I$6:$I$1005,"&gt;0")=0,"",MINIFS('Activity Log'!$I$6:$I$1005,'Activity Log'!$C$6:$C$1005,$A188,'Activity Log'!$J$6:$J$1005,"No",'Activity Log'!$I$6:$I$1005,"&gt;0")))</x:f>
      </x:c>
      <x:c r="R188" s="57" t="str">
        <x:f>IF($C188="","",IF(OR($K188="Won",$K188="Lost",$K188="Disqualified"),"Closed",IF($Q188="","No date",IF(INT($Q188)&lt;TODAY(),"Overdue",IF(INT($Q188)=TODAY(),"Today",IF(INT($Q188)&lt;=TODAY()+7,"Next 7 days","Later"))))))</x:f>
      </x:c>
      <x:c r="S188" s="57" t="str">
        <x:f>IF(OR($C188="",$P188=""),"",TODAY()-INT($P188))</x:f>
      </x:c>
      <x:c r="T188" s="54"/>
      <x:c r="U188" s="54"/>
      <x:c r="V188" s="63"/>
      <x:c r="W188" s="74"/>
      <x:c r="X188" s="77" t="str">
        <x:f>IF($C188="","",IFERROR(VLOOKUP($M188,'Lists &amp; Rules'!$L$5:$N$13,2,FALSE),0))</x:f>
      </x:c>
      <x:c r="Y188" s="80" t="str">
        <x:f>IF(OR($C188="",$W188=""),"",ROUND($W188*$X188,0))</x:f>
      </x:c>
      <x:c r="Z188" s="57" t="str">
        <x:f>IF($A188="","",COUNTIF('Activity Log'!$C$6:$C$1005,$A188))</x:f>
      </x:c>
      <x:c r="AA188" s="68"/>
      <x:c r="AB188" s="63"/>
    </x:row>
    <x:row r="189">
      <x:c r="A189" s="54"/>
      <x:c r="B189" s="68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  <x:c r="N189" s="54"/>
      <x:c r="O189" s="57" t="str">
        <x:f>IF($C189="","",MAX(0,MIN(100,IFERROR(VLOOKUP($L189,'Lists &amp; Rules'!$P$5:$Q$8,2,FALSE),0)+IFERROR(VLOOKUP($N189,'Lists &amp; Rules'!$S$5:$T$7,2,FALSE),0)+IFERROR(VLOOKUP($M189,'Lists &amp; Rules'!$L$5:$N$13,3,FALSE),0)+IF($R189="Overdue",-10,IF($R189="Today",5,0))+MIN(15,$Z189*3))))</x:f>
      </x:c>
      <x:c r="P189" s="71" t="str">
        <x:f>IF($A189="","",IF(COUNTIF('Activity Log'!$C$6:$C$1005,$A189)=0,"",MAXIFS('Activity Log'!$B$6:$B$1005,'Activity Log'!$C$6:$C$1005,$A189)))</x:f>
      </x:c>
      <x:c r="Q189" s="71" t="str">
        <x:f>IF($A189="","",IF(COUNTIFS('Activity Log'!$C$6:$C$1005,$A189,'Activity Log'!$J$6:$J$1005,"No",'Activity Log'!$I$6:$I$1005,"&gt;0")=0,"",MINIFS('Activity Log'!$I$6:$I$1005,'Activity Log'!$C$6:$C$1005,$A189,'Activity Log'!$J$6:$J$1005,"No",'Activity Log'!$I$6:$I$1005,"&gt;0")))</x:f>
      </x:c>
      <x:c r="R189" s="57" t="str">
        <x:f>IF($C189="","",IF(OR($K189="Won",$K189="Lost",$K189="Disqualified"),"Closed",IF($Q189="","No date",IF(INT($Q189)&lt;TODAY(),"Overdue",IF(INT($Q189)=TODAY(),"Today",IF(INT($Q189)&lt;=TODAY()+7,"Next 7 days","Later"))))))</x:f>
      </x:c>
      <x:c r="S189" s="57" t="str">
        <x:f>IF(OR($C189="",$P189=""),"",TODAY()-INT($P189))</x:f>
      </x:c>
      <x:c r="T189" s="54"/>
      <x:c r="U189" s="54"/>
      <x:c r="V189" s="63"/>
      <x:c r="W189" s="74"/>
      <x:c r="X189" s="77" t="str">
        <x:f>IF($C189="","",IFERROR(VLOOKUP($M189,'Lists &amp; Rules'!$L$5:$N$13,2,FALSE),0))</x:f>
      </x:c>
      <x:c r="Y189" s="80" t="str">
        <x:f>IF(OR($C189="",$W189=""),"",ROUND($W189*$X189,0))</x:f>
      </x:c>
      <x:c r="Z189" s="57" t="str">
        <x:f>IF($A189="","",COUNTIF('Activity Log'!$C$6:$C$1005,$A189))</x:f>
      </x:c>
      <x:c r="AA189" s="68"/>
      <x:c r="AB189" s="63"/>
    </x:row>
    <x:row r="190">
      <x:c r="A190" s="54"/>
      <x:c r="B190" s="68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  <x:c r="N190" s="54"/>
      <x:c r="O190" s="57" t="str">
        <x:f>IF($C190="","",MAX(0,MIN(100,IFERROR(VLOOKUP($L190,'Lists &amp; Rules'!$P$5:$Q$8,2,FALSE),0)+IFERROR(VLOOKUP($N190,'Lists &amp; Rules'!$S$5:$T$7,2,FALSE),0)+IFERROR(VLOOKUP($M190,'Lists &amp; Rules'!$L$5:$N$13,3,FALSE),0)+IF($R190="Overdue",-10,IF($R190="Today",5,0))+MIN(15,$Z190*3))))</x:f>
      </x:c>
      <x:c r="P190" s="71" t="str">
        <x:f>IF($A190="","",IF(COUNTIF('Activity Log'!$C$6:$C$1005,$A190)=0,"",MAXIFS('Activity Log'!$B$6:$B$1005,'Activity Log'!$C$6:$C$1005,$A190)))</x:f>
      </x:c>
      <x:c r="Q190" s="71" t="str">
        <x:f>IF($A190="","",IF(COUNTIFS('Activity Log'!$C$6:$C$1005,$A190,'Activity Log'!$J$6:$J$1005,"No",'Activity Log'!$I$6:$I$1005,"&gt;0")=0,"",MINIFS('Activity Log'!$I$6:$I$1005,'Activity Log'!$C$6:$C$1005,$A190,'Activity Log'!$J$6:$J$1005,"No",'Activity Log'!$I$6:$I$1005,"&gt;0")))</x:f>
      </x:c>
      <x:c r="R190" s="57" t="str">
        <x:f>IF($C190="","",IF(OR($K190="Won",$K190="Lost",$K190="Disqualified"),"Closed",IF($Q190="","No date",IF(INT($Q190)&lt;TODAY(),"Overdue",IF(INT($Q190)=TODAY(),"Today",IF(INT($Q190)&lt;=TODAY()+7,"Next 7 days","Later"))))))</x:f>
      </x:c>
      <x:c r="S190" s="57" t="str">
        <x:f>IF(OR($C190="",$P190=""),"",TODAY()-INT($P190))</x:f>
      </x:c>
      <x:c r="T190" s="54"/>
      <x:c r="U190" s="54"/>
      <x:c r="V190" s="63"/>
      <x:c r="W190" s="74"/>
      <x:c r="X190" s="77" t="str">
        <x:f>IF($C190="","",IFERROR(VLOOKUP($M190,'Lists &amp; Rules'!$L$5:$N$13,2,FALSE),0))</x:f>
      </x:c>
      <x:c r="Y190" s="80" t="str">
        <x:f>IF(OR($C190="",$W190=""),"",ROUND($W190*$X190,0))</x:f>
      </x:c>
      <x:c r="Z190" s="57" t="str">
        <x:f>IF($A190="","",COUNTIF('Activity Log'!$C$6:$C$1005,$A190))</x:f>
      </x:c>
      <x:c r="AA190" s="68"/>
      <x:c r="AB190" s="63"/>
    </x:row>
    <x:row r="191">
      <x:c r="A191" s="54"/>
      <x:c r="B191" s="68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  <x:c r="N191" s="54"/>
      <x:c r="O191" s="57" t="str">
        <x:f>IF($C191="","",MAX(0,MIN(100,IFERROR(VLOOKUP($L191,'Lists &amp; Rules'!$P$5:$Q$8,2,FALSE),0)+IFERROR(VLOOKUP($N191,'Lists &amp; Rules'!$S$5:$T$7,2,FALSE),0)+IFERROR(VLOOKUP($M191,'Lists &amp; Rules'!$L$5:$N$13,3,FALSE),0)+IF($R191="Overdue",-10,IF($R191="Today",5,0))+MIN(15,$Z191*3))))</x:f>
      </x:c>
      <x:c r="P191" s="71" t="str">
        <x:f>IF($A191="","",IF(COUNTIF('Activity Log'!$C$6:$C$1005,$A191)=0,"",MAXIFS('Activity Log'!$B$6:$B$1005,'Activity Log'!$C$6:$C$1005,$A191)))</x:f>
      </x:c>
      <x:c r="Q191" s="71" t="str">
        <x:f>IF($A191="","",IF(COUNTIFS('Activity Log'!$C$6:$C$1005,$A191,'Activity Log'!$J$6:$J$1005,"No",'Activity Log'!$I$6:$I$1005,"&gt;0")=0,"",MINIFS('Activity Log'!$I$6:$I$1005,'Activity Log'!$C$6:$C$1005,$A191,'Activity Log'!$J$6:$J$1005,"No",'Activity Log'!$I$6:$I$1005,"&gt;0")))</x:f>
      </x:c>
      <x:c r="R191" s="57" t="str">
        <x:f>IF($C191="","",IF(OR($K191="Won",$K191="Lost",$K191="Disqualified"),"Closed",IF($Q191="","No date",IF(INT($Q191)&lt;TODAY(),"Overdue",IF(INT($Q191)=TODAY(),"Today",IF(INT($Q191)&lt;=TODAY()+7,"Next 7 days","Later"))))))</x:f>
      </x:c>
      <x:c r="S191" s="57" t="str">
        <x:f>IF(OR($C191="",$P191=""),"",TODAY()-INT($P191))</x:f>
      </x:c>
      <x:c r="T191" s="54"/>
      <x:c r="U191" s="54"/>
      <x:c r="V191" s="63"/>
      <x:c r="W191" s="74"/>
      <x:c r="X191" s="77" t="str">
        <x:f>IF($C191="","",IFERROR(VLOOKUP($M191,'Lists &amp; Rules'!$L$5:$N$13,2,FALSE),0))</x:f>
      </x:c>
      <x:c r="Y191" s="80" t="str">
        <x:f>IF(OR($C191="",$W191=""),"",ROUND($W191*$X191,0))</x:f>
      </x:c>
      <x:c r="Z191" s="57" t="str">
        <x:f>IF($A191="","",COUNTIF('Activity Log'!$C$6:$C$1005,$A191))</x:f>
      </x:c>
      <x:c r="AA191" s="68"/>
      <x:c r="AB191" s="63"/>
    </x:row>
    <x:row r="192">
      <x:c r="A192" s="54"/>
      <x:c r="B192" s="68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  <x:c r="N192" s="54"/>
      <x:c r="O192" s="57" t="str">
        <x:f>IF($C192="","",MAX(0,MIN(100,IFERROR(VLOOKUP($L192,'Lists &amp; Rules'!$P$5:$Q$8,2,FALSE),0)+IFERROR(VLOOKUP($N192,'Lists &amp; Rules'!$S$5:$T$7,2,FALSE),0)+IFERROR(VLOOKUP($M192,'Lists &amp; Rules'!$L$5:$N$13,3,FALSE),0)+IF($R192="Overdue",-10,IF($R192="Today",5,0))+MIN(15,$Z192*3))))</x:f>
      </x:c>
      <x:c r="P192" s="71" t="str">
        <x:f>IF($A192="","",IF(COUNTIF('Activity Log'!$C$6:$C$1005,$A192)=0,"",MAXIFS('Activity Log'!$B$6:$B$1005,'Activity Log'!$C$6:$C$1005,$A192)))</x:f>
      </x:c>
      <x:c r="Q192" s="71" t="str">
        <x:f>IF($A192="","",IF(COUNTIFS('Activity Log'!$C$6:$C$1005,$A192,'Activity Log'!$J$6:$J$1005,"No",'Activity Log'!$I$6:$I$1005,"&gt;0")=0,"",MINIFS('Activity Log'!$I$6:$I$1005,'Activity Log'!$C$6:$C$1005,$A192,'Activity Log'!$J$6:$J$1005,"No",'Activity Log'!$I$6:$I$1005,"&gt;0")))</x:f>
      </x:c>
      <x:c r="R192" s="57" t="str">
        <x:f>IF($C192="","",IF(OR($K192="Won",$K192="Lost",$K192="Disqualified"),"Closed",IF($Q192="","No date",IF(INT($Q192)&lt;TODAY(),"Overdue",IF(INT($Q192)=TODAY(),"Today",IF(INT($Q192)&lt;=TODAY()+7,"Next 7 days","Later"))))))</x:f>
      </x:c>
      <x:c r="S192" s="57" t="str">
        <x:f>IF(OR($C192="",$P192=""),"",TODAY()-INT($P192))</x:f>
      </x:c>
      <x:c r="T192" s="54"/>
      <x:c r="U192" s="54"/>
      <x:c r="V192" s="63"/>
      <x:c r="W192" s="74"/>
      <x:c r="X192" s="77" t="str">
        <x:f>IF($C192="","",IFERROR(VLOOKUP($M192,'Lists &amp; Rules'!$L$5:$N$13,2,FALSE),0))</x:f>
      </x:c>
      <x:c r="Y192" s="80" t="str">
        <x:f>IF(OR($C192="",$W192=""),"",ROUND($W192*$X192,0))</x:f>
      </x:c>
      <x:c r="Z192" s="57" t="str">
        <x:f>IF($A192="","",COUNTIF('Activity Log'!$C$6:$C$1005,$A192))</x:f>
      </x:c>
      <x:c r="AA192" s="68"/>
      <x:c r="AB192" s="63"/>
    </x:row>
    <x:row r="193">
      <x:c r="A193" s="54"/>
      <x:c r="B193" s="68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  <x:c r="N193" s="54"/>
      <x:c r="O193" s="57" t="str">
        <x:f>IF($C193="","",MAX(0,MIN(100,IFERROR(VLOOKUP($L193,'Lists &amp; Rules'!$P$5:$Q$8,2,FALSE),0)+IFERROR(VLOOKUP($N193,'Lists &amp; Rules'!$S$5:$T$7,2,FALSE),0)+IFERROR(VLOOKUP($M193,'Lists &amp; Rules'!$L$5:$N$13,3,FALSE),0)+IF($R193="Overdue",-10,IF($R193="Today",5,0))+MIN(15,$Z193*3))))</x:f>
      </x:c>
      <x:c r="P193" s="71" t="str">
        <x:f>IF($A193="","",IF(COUNTIF('Activity Log'!$C$6:$C$1005,$A193)=0,"",MAXIFS('Activity Log'!$B$6:$B$1005,'Activity Log'!$C$6:$C$1005,$A193)))</x:f>
      </x:c>
      <x:c r="Q193" s="71" t="str">
        <x:f>IF($A193="","",IF(COUNTIFS('Activity Log'!$C$6:$C$1005,$A193,'Activity Log'!$J$6:$J$1005,"No",'Activity Log'!$I$6:$I$1005,"&gt;0")=0,"",MINIFS('Activity Log'!$I$6:$I$1005,'Activity Log'!$C$6:$C$1005,$A193,'Activity Log'!$J$6:$J$1005,"No",'Activity Log'!$I$6:$I$1005,"&gt;0")))</x:f>
      </x:c>
      <x:c r="R193" s="57" t="str">
        <x:f>IF($C193="","",IF(OR($K193="Won",$K193="Lost",$K193="Disqualified"),"Closed",IF($Q193="","No date",IF(INT($Q193)&lt;TODAY(),"Overdue",IF(INT($Q193)=TODAY(),"Today",IF(INT($Q193)&lt;=TODAY()+7,"Next 7 days","Later"))))))</x:f>
      </x:c>
      <x:c r="S193" s="57" t="str">
        <x:f>IF(OR($C193="",$P193=""),"",TODAY()-INT($P193))</x:f>
      </x:c>
      <x:c r="T193" s="54"/>
      <x:c r="U193" s="54"/>
      <x:c r="V193" s="63"/>
      <x:c r="W193" s="74"/>
      <x:c r="X193" s="77" t="str">
        <x:f>IF($C193="","",IFERROR(VLOOKUP($M193,'Lists &amp; Rules'!$L$5:$N$13,2,FALSE),0))</x:f>
      </x:c>
      <x:c r="Y193" s="80" t="str">
        <x:f>IF(OR($C193="",$W193=""),"",ROUND($W193*$X193,0))</x:f>
      </x:c>
      <x:c r="Z193" s="57" t="str">
        <x:f>IF($A193="","",COUNTIF('Activity Log'!$C$6:$C$1005,$A193))</x:f>
      </x:c>
      <x:c r="AA193" s="68"/>
      <x:c r="AB193" s="63"/>
    </x:row>
    <x:row r="194">
      <x:c r="A194" s="54"/>
      <x:c r="B194" s="68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  <x:c r="N194" s="54"/>
      <x:c r="O194" s="57" t="str">
        <x:f>IF($C194="","",MAX(0,MIN(100,IFERROR(VLOOKUP($L194,'Lists &amp; Rules'!$P$5:$Q$8,2,FALSE),0)+IFERROR(VLOOKUP($N194,'Lists &amp; Rules'!$S$5:$T$7,2,FALSE),0)+IFERROR(VLOOKUP($M194,'Lists &amp; Rules'!$L$5:$N$13,3,FALSE),0)+IF($R194="Overdue",-10,IF($R194="Today",5,0))+MIN(15,$Z194*3))))</x:f>
      </x:c>
      <x:c r="P194" s="71" t="str">
        <x:f>IF($A194="","",IF(COUNTIF('Activity Log'!$C$6:$C$1005,$A194)=0,"",MAXIFS('Activity Log'!$B$6:$B$1005,'Activity Log'!$C$6:$C$1005,$A194)))</x:f>
      </x:c>
      <x:c r="Q194" s="71" t="str">
        <x:f>IF($A194="","",IF(COUNTIFS('Activity Log'!$C$6:$C$1005,$A194,'Activity Log'!$J$6:$J$1005,"No",'Activity Log'!$I$6:$I$1005,"&gt;0")=0,"",MINIFS('Activity Log'!$I$6:$I$1005,'Activity Log'!$C$6:$C$1005,$A194,'Activity Log'!$J$6:$J$1005,"No",'Activity Log'!$I$6:$I$1005,"&gt;0")))</x:f>
      </x:c>
      <x:c r="R194" s="57" t="str">
        <x:f>IF($C194="","",IF(OR($K194="Won",$K194="Lost",$K194="Disqualified"),"Closed",IF($Q194="","No date",IF(INT($Q194)&lt;TODAY(),"Overdue",IF(INT($Q194)=TODAY(),"Today",IF(INT($Q194)&lt;=TODAY()+7,"Next 7 days","Later"))))))</x:f>
      </x:c>
      <x:c r="S194" s="57" t="str">
        <x:f>IF(OR($C194="",$P194=""),"",TODAY()-INT($P194))</x:f>
      </x:c>
      <x:c r="T194" s="54"/>
      <x:c r="U194" s="54"/>
      <x:c r="V194" s="63"/>
      <x:c r="W194" s="74"/>
      <x:c r="X194" s="77" t="str">
        <x:f>IF($C194="","",IFERROR(VLOOKUP($M194,'Lists &amp; Rules'!$L$5:$N$13,2,FALSE),0))</x:f>
      </x:c>
      <x:c r="Y194" s="80" t="str">
        <x:f>IF(OR($C194="",$W194=""),"",ROUND($W194*$X194,0))</x:f>
      </x:c>
      <x:c r="Z194" s="57" t="str">
        <x:f>IF($A194="","",COUNTIF('Activity Log'!$C$6:$C$1005,$A194))</x:f>
      </x:c>
      <x:c r="AA194" s="68"/>
      <x:c r="AB194" s="63"/>
    </x:row>
    <x:row r="195">
      <x:c r="A195" s="54"/>
      <x:c r="B195" s="68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  <x:c r="N195" s="54"/>
      <x:c r="O195" s="57" t="str">
        <x:f>IF($C195="","",MAX(0,MIN(100,IFERROR(VLOOKUP($L195,'Lists &amp; Rules'!$P$5:$Q$8,2,FALSE),0)+IFERROR(VLOOKUP($N195,'Lists &amp; Rules'!$S$5:$T$7,2,FALSE),0)+IFERROR(VLOOKUP($M195,'Lists &amp; Rules'!$L$5:$N$13,3,FALSE),0)+IF($R195="Overdue",-10,IF($R195="Today",5,0))+MIN(15,$Z195*3))))</x:f>
      </x:c>
      <x:c r="P195" s="71" t="str">
        <x:f>IF($A195="","",IF(COUNTIF('Activity Log'!$C$6:$C$1005,$A195)=0,"",MAXIFS('Activity Log'!$B$6:$B$1005,'Activity Log'!$C$6:$C$1005,$A195)))</x:f>
      </x:c>
      <x:c r="Q195" s="71" t="str">
        <x:f>IF($A195="","",IF(COUNTIFS('Activity Log'!$C$6:$C$1005,$A195,'Activity Log'!$J$6:$J$1005,"No",'Activity Log'!$I$6:$I$1005,"&gt;0")=0,"",MINIFS('Activity Log'!$I$6:$I$1005,'Activity Log'!$C$6:$C$1005,$A195,'Activity Log'!$J$6:$J$1005,"No",'Activity Log'!$I$6:$I$1005,"&gt;0")))</x:f>
      </x:c>
      <x:c r="R195" s="57" t="str">
        <x:f>IF($C195="","",IF(OR($K195="Won",$K195="Lost",$K195="Disqualified"),"Closed",IF($Q195="","No date",IF(INT($Q195)&lt;TODAY(),"Overdue",IF(INT($Q195)=TODAY(),"Today",IF(INT($Q195)&lt;=TODAY()+7,"Next 7 days","Later"))))))</x:f>
      </x:c>
      <x:c r="S195" s="57" t="str">
        <x:f>IF(OR($C195="",$P195=""),"",TODAY()-INT($P195))</x:f>
      </x:c>
      <x:c r="T195" s="54"/>
      <x:c r="U195" s="54"/>
      <x:c r="V195" s="63"/>
      <x:c r="W195" s="74"/>
      <x:c r="X195" s="77" t="str">
        <x:f>IF($C195="","",IFERROR(VLOOKUP($M195,'Lists &amp; Rules'!$L$5:$N$13,2,FALSE),0))</x:f>
      </x:c>
      <x:c r="Y195" s="80" t="str">
        <x:f>IF(OR($C195="",$W195=""),"",ROUND($W195*$X195,0))</x:f>
      </x:c>
      <x:c r="Z195" s="57" t="str">
        <x:f>IF($A195="","",COUNTIF('Activity Log'!$C$6:$C$1005,$A195))</x:f>
      </x:c>
      <x:c r="AA195" s="68"/>
      <x:c r="AB195" s="63"/>
    </x:row>
    <x:row r="196">
      <x:c r="A196" s="54"/>
      <x:c r="B196" s="68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  <x:c r="N196" s="54"/>
      <x:c r="O196" s="57" t="str">
        <x:f>IF($C196="","",MAX(0,MIN(100,IFERROR(VLOOKUP($L196,'Lists &amp; Rules'!$P$5:$Q$8,2,FALSE),0)+IFERROR(VLOOKUP($N196,'Lists &amp; Rules'!$S$5:$T$7,2,FALSE),0)+IFERROR(VLOOKUP($M196,'Lists &amp; Rules'!$L$5:$N$13,3,FALSE),0)+IF($R196="Overdue",-10,IF($R196="Today",5,0))+MIN(15,$Z196*3))))</x:f>
      </x:c>
      <x:c r="P196" s="71" t="str">
        <x:f>IF($A196="","",IF(COUNTIF('Activity Log'!$C$6:$C$1005,$A196)=0,"",MAXIFS('Activity Log'!$B$6:$B$1005,'Activity Log'!$C$6:$C$1005,$A196)))</x:f>
      </x:c>
      <x:c r="Q196" s="71" t="str">
        <x:f>IF($A196="","",IF(COUNTIFS('Activity Log'!$C$6:$C$1005,$A196,'Activity Log'!$J$6:$J$1005,"No",'Activity Log'!$I$6:$I$1005,"&gt;0")=0,"",MINIFS('Activity Log'!$I$6:$I$1005,'Activity Log'!$C$6:$C$1005,$A196,'Activity Log'!$J$6:$J$1005,"No",'Activity Log'!$I$6:$I$1005,"&gt;0")))</x:f>
      </x:c>
      <x:c r="R196" s="57" t="str">
        <x:f>IF($C196="","",IF(OR($K196="Won",$K196="Lost",$K196="Disqualified"),"Closed",IF($Q196="","No date",IF(INT($Q196)&lt;TODAY(),"Overdue",IF(INT($Q196)=TODAY(),"Today",IF(INT($Q196)&lt;=TODAY()+7,"Next 7 days","Later"))))))</x:f>
      </x:c>
      <x:c r="S196" s="57" t="str">
        <x:f>IF(OR($C196="",$P196=""),"",TODAY()-INT($P196))</x:f>
      </x:c>
      <x:c r="T196" s="54"/>
      <x:c r="U196" s="54"/>
      <x:c r="V196" s="63"/>
      <x:c r="W196" s="74"/>
      <x:c r="X196" s="77" t="str">
        <x:f>IF($C196="","",IFERROR(VLOOKUP($M196,'Lists &amp; Rules'!$L$5:$N$13,2,FALSE),0))</x:f>
      </x:c>
      <x:c r="Y196" s="80" t="str">
        <x:f>IF(OR($C196="",$W196=""),"",ROUND($W196*$X196,0))</x:f>
      </x:c>
      <x:c r="Z196" s="57" t="str">
        <x:f>IF($A196="","",COUNTIF('Activity Log'!$C$6:$C$1005,$A196))</x:f>
      </x:c>
      <x:c r="AA196" s="68"/>
      <x:c r="AB196" s="63"/>
    </x:row>
    <x:row r="197">
      <x:c r="A197" s="54"/>
      <x:c r="B197" s="68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  <x:c r="N197" s="54"/>
      <x:c r="O197" s="57" t="str">
        <x:f>IF($C197="","",MAX(0,MIN(100,IFERROR(VLOOKUP($L197,'Lists &amp; Rules'!$P$5:$Q$8,2,FALSE),0)+IFERROR(VLOOKUP($N197,'Lists &amp; Rules'!$S$5:$T$7,2,FALSE),0)+IFERROR(VLOOKUP($M197,'Lists &amp; Rules'!$L$5:$N$13,3,FALSE),0)+IF($R197="Overdue",-10,IF($R197="Today",5,0))+MIN(15,$Z197*3))))</x:f>
      </x:c>
      <x:c r="P197" s="71" t="str">
        <x:f>IF($A197="","",IF(COUNTIF('Activity Log'!$C$6:$C$1005,$A197)=0,"",MAXIFS('Activity Log'!$B$6:$B$1005,'Activity Log'!$C$6:$C$1005,$A197)))</x:f>
      </x:c>
      <x:c r="Q197" s="71" t="str">
        <x:f>IF($A197="","",IF(COUNTIFS('Activity Log'!$C$6:$C$1005,$A197,'Activity Log'!$J$6:$J$1005,"No",'Activity Log'!$I$6:$I$1005,"&gt;0")=0,"",MINIFS('Activity Log'!$I$6:$I$1005,'Activity Log'!$C$6:$C$1005,$A197,'Activity Log'!$J$6:$J$1005,"No",'Activity Log'!$I$6:$I$1005,"&gt;0")))</x:f>
      </x:c>
      <x:c r="R197" s="57" t="str">
        <x:f>IF($C197="","",IF(OR($K197="Won",$K197="Lost",$K197="Disqualified"),"Closed",IF($Q197="","No date",IF(INT($Q197)&lt;TODAY(),"Overdue",IF(INT($Q197)=TODAY(),"Today",IF(INT($Q197)&lt;=TODAY()+7,"Next 7 days","Later"))))))</x:f>
      </x:c>
      <x:c r="S197" s="57" t="str">
        <x:f>IF(OR($C197="",$P197=""),"",TODAY()-INT($P197))</x:f>
      </x:c>
      <x:c r="T197" s="54"/>
      <x:c r="U197" s="54"/>
      <x:c r="V197" s="63"/>
      <x:c r="W197" s="74"/>
      <x:c r="X197" s="77" t="str">
        <x:f>IF($C197="","",IFERROR(VLOOKUP($M197,'Lists &amp; Rules'!$L$5:$N$13,2,FALSE),0))</x:f>
      </x:c>
      <x:c r="Y197" s="80" t="str">
        <x:f>IF(OR($C197="",$W197=""),"",ROUND($W197*$X197,0))</x:f>
      </x:c>
      <x:c r="Z197" s="57" t="str">
        <x:f>IF($A197="","",COUNTIF('Activity Log'!$C$6:$C$1005,$A197))</x:f>
      </x:c>
      <x:c r="AA197" s="68"/>
      <x:c r="AB197" s="63"/>
    </x:row>
    <x:row r="198">
      <x:c r="A198" s="54"/>
      <x:c r="B198" s="68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  <x:c r="N198" s="54"/>
      <x:c r="O198" s="57" t="str">
        <x:f>IF($C198="","",MAX(0,MIN(100,IFERROR(VLOOKUP($L198,'Lists &amp; Rules'!$P$5:$Q$8,2,FALSE),0)+IFERROR(VLOOKUP($N198,'Lists &amp; Rules'!$S$5:$T$7,2,FALSE),0)+IFERROR(VLOOKUP($M198,'Lists &amp; Rules'!$L$5:$N$13,3,FALSE),0)+IF($R198="Overdue",-10,IF($R198="Today",5,0))+MIN(15,$Z198*3))))</x:f>
      </x:c>
      <x:c r="P198" s="71" t="str">
        <x:f>IF($A198="","",IF(COUNTIF('Activity Log'!$C$6:$C$1005,$A198)=0,"",MAXIFS('Activity Log'!$B$6:$B$1005,'Activity Log'!$C$6:$C$1005,$A198)))</x:f>
      </x:c>
      <x:c r="Q198" s="71" t="str">
        <x:f>IF($A198="","",IF(COUNTIFS('Activity Log'!$C$6:$C$1005,$A198,'Activity Log'!$J$6:$J$1005,"No",'Activity Log'!$I$6:$I$1005,"&gt;0")=0,"",MINIFS('Activity Log'!$I$6:$I$1005,'Activity Log'!$C$6:$C$1005,$A198,'Activity Log'!$J$6:$J$1005,"No",'Activity Log'!$I$6:$I$1005,"&gt;0")))</x:f>
      </x:c>
      <x:c r="R198" s="57" t="str">
        <x:f>IF($C198="","",IF(OR($K198="Won",$K198="Lost",$K198="Disqualified"),"Closed",IF($Q198="","No date",IF(INT($Q198)&lt;TODAY(),"Overdue",IF(INT($Q198)=TODAY(),"Today",IF(INT($Q198)&lt;=TODAY()+7,"Next 7 days","Later"))))))</x:f>
      </x:c>
      <x:c r="S198" s="57" t="str">
        <x:f>IF(OR($C198="",$P198=""),"",TODAY()-INT($P198))</x:f>
      </x:c>
      <x:c r="T198" s="54"/>
      <x:c r="U198" s="54"/>
      <x:c r="V198" s="63"/>
      <x:c r="W198" s="74"/>
      <x:c r="X198" s="77" t="str">
        <x:f>IF($C198="","",IFERROR(VLOOKUP($M198,'Lists &amp; Rules'!$L$5:$N$13,2,FALSE),0))</x:f>
      </x:c>
      <x:c r="Y198" s="80" t="str">
        <x:f>IF(OR($C198="",$W198=""),"",ROUND($W198*$X198,0))</x:f>
      </x:c>
      <x:c r="Z198" s="57" t="str">
        <x:f>IF($A198="","",COUNTIF('Activity Log'!$C$6:$C$1005,$A198))</x:f>
      </x:c>
      <x:c r="AA198" s="68"/>
      <x:c r="AB198" s="63"/>
    </x:row>
    <x:row r="199">
      <x:c r="A199" s="54"/>
      <x:c r="B199" s="68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  <x:c r="N199" s="54"/>
      <x:c r="O199" s="57" t="str">
        <x:f>IF($C199="","",MAX(0,MIN(100,IFERROR(VLOOKUP($L199,'Lists &amp; Rules'!$P$5:$Q$8,2,FALSE),0)+IFERROR(VLOOKUP($N199,'Lists &amp; Rules'!$S$5:$T$7,2,FALSE),0)+IFERROR(VLOOKUP($M199,'Lists &amp; Rules'!$L$5:$N$13,3,FALSE),0)+IF($R199="Overdue",-10,IF($R199="Today",5,0))+MIN(15,$Z199*3))))</x:f>
      </x:c>
      <x:c r="P199" s="71" t="str">
        <x:f>IF($A199="","",IF(COUNTIF('Activity Log'!$C$6:$C$1005,$A199)=0,"",MAXIFS('Activity Log'!$B$6:$B$1005,'Activity Log'!$C$6:$C$1005,$A199)))</x:f>
      </x:c>
      <x:c r="Q199" s="71" t="str">
        <x:f>IF($A199="","",IF(COUNTIFS('Activity Log'!$C$6:$C$1005,$A199,'Activity Log'!$J$6:$J$1005,"No",'Activity Log'!$I$6:$I$1005,"&gt;0")=0,"",MINIFS('Activity Log'!$I$6:$I$1005,'Activity Log'!$C$6:$C$1005,$A199,'Activity Log'!$J$6:$J$1005,"No",'Activity Log'!$I$6:$I$1005,"&gt;0")))</x:f>
      </x:c>
      <x:c r="R199" s="57" t="str">
        <x:f>IF($C199="","",IF(OR($K199="Won",$K199="Lost",$K199="Disqualified"),"Closed",IF($Q199="","No date",IF(INT($Q199)&lt;TODAY(),"Overdue",IF(INT($Q199)=TODAY(),"Today",IF(INT($Q199)&lt;=TODAY()+7,"Next 7 days","Later"))))))</x:f>
      </x:c>
      <x:c r="S199" s="57" t="str">
        <x:f>IF(OR($C199="",$P199=""),"",TODAY()-INT($P199))</x:f>
      </x:c>
      <x:c r="T199" s="54"/>
      <x:c r="U199" s="54"/>
      <x:c r="V199" s="63"/>
      <x:c r="W199" s="74"/>
      <x:c r="X199" s="77" t="str">
        <x:f>IF($C199="","",IFERROR(VLOOKUP($M199,'Lists &amp; Rules'!$L$5:$N$13,2,FALSE),0))</x:f>
      </x:c>
      <x:c r="Y199" s="80" t="str">
        <x:f>IF(OR($C199="",$W199=""),"",ROUND($W199*$X199,0))</x:f>
      </x:c>
      <x:c r="Z199" s="57" t="str">
        <x:f>IF($A199="","",COUNTIF('Activity Log'!$C$6:$C$1005,$A199))</x:f>
      </x:c>
      <x:c r="AA199" s="68"/>
      <x:c r="AB199" s="63"/>
    </x:row>
    <x:row r="200">
      <x:c r="A200" s="54"/>
      <x:c r="B200" s="68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  <x:c r="N200" s="54"/>
      <x:c r="O200" s="57" t="str">
        <x:f>IF($C200="","",MAX(0,MIN(100,IFERROR(VLOOKUP($L200,'Lists &amp; Rules'!$P$5:$Q$8,2,FALSE),0)+IFERROR(VLOOKUP($N200,'Lists &amp; Rules'!$S$5:$T$7,2,FALSE),0)+IFERROR(VLOOKUP($M200,'Lists &amp; Rules'!$L$5:$N$13,3,FALSE),0)+IF($R200="Overdue",-10,IF($R200="Today",5,0))+MIN(15,$Z200*3))))</x:f>
      </x:c>
      <x:c r="P200" s="71" t="str">
        <x:f>IF($A200="","",IF(COUNTIF('Activity Log'!$C$6:$C$1005,$A200)=0,"",MAXIFS('Activity Log'!$B$6:$B$1005,'Activity Log'!$C$6:$C$1005,$A200)))</x:f>
      </x:c>
      <x:c r="Q200" s="71" t="str">
        <x:f>IF($A200="","",IF(COUNTIFS('Activity Log'!$C$6:$C$1005,$A200,'Activity Log'!$J$6:$J$1005,"No",'Activity Log'!$I$6:$I$1005,"&gt;0")=0,"",MINIFS('Activity Log'!$I$6:$I$1005,'Activity Log'!$C$6:$C$1005,$A200,'Activity Log'!$J$6:$J$1005,"No",'Activity Log'!$I$6:$I$1005,"&gt;0")))</x:f>
      </x:c>
      <x:c r="R200" s="57" t="str">
        <x:f>IF($C200="","",IF(OR($K200="Won",$K200="Lost",$K200="Disqualified"),"Closed",IF($Q200="","No date",IF(INT($Q200)&lt;TODAY(),"Overdue",IF(INT($Q200)=TODAY(),"Today",IF(INT($Q200)&lt;=TODAY()+7,"Next 7 days","Later"))))))</x:f>
      </x:c>
      <x:c r="S200" s="57" t="str">
        <x:f>IF(OR($C200="",$P200=""),"",TODAY()-INT($P200))</x:f>
      </x:c>
      <x:c r="T200" s="54"/>
      <x:c r="U200" s="54"/>
      <x:c r="V200" s="63"/>
      <x:c r="W200" s="74"/>
      <x:c r="X200" s="77" t="str">
        <x:f>IF($C200="","",IFERROR(VLOOKUP($M200,'Lists &amp; Rules'!$L$5:$N$13,2,FALSE),0))</x:f>
      </x:c>
      <x:c r="Y200" s="80" t="str">
        <x:f>IF(OR($C200="",$W200=""),"",ROUND($W200*$X200,0))</x:f>
      </x:c>
      <x:c r="Z200" s="57" t="str">
        <x:f>IF($A200="","",COUNTIF('Activity Log'!$C$6:$C$1005,$A200))</x:f>
      </x:c>
      <x:c r="AA200" s="68"/>
      <x:c r="AB200" s="63"/>
    </x:row>
    <x:row r="201">
      <x:c r="A201" s="54"/>
      <x:c r="B201" s="68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4"/>
      <x:c r="N201" s="54"/>
      <x:c r="O201" s="57" t="str">
        <x:f>IF($C201="","",MAX(0,MIN(100,IFERROR(VLOOKUP($L201,'Lists &amp; Rules'!$P$5:$Q$8,2,FALSE),0)+IFERROR(VLOOKUP($N201,'Lists &amp; Rules'!$S$5:$T$7,2,FALSE),0)+IFERROR(VLOOKUP($M201,'Lists &amp; Rules'!$L$5:$N$13,3,FALSE),0)+IF($R201="Overdue",-10,IF($R201="Today",5,0))+MIN(15,$Z201*3))))</x:f>
      </x:c>
      <x:c r="P201" s="71" t="str">
        <x:f>IF($A201="","",IF(COUNTIF('Activity Log'!$C$6:$C$1005,$A201)=0,"",MAXIFS('Activity Log'!$B$6:$B$1005,'Activity Log'!$C$6:$C$1005,$A201)))</x:f>
      </x:c>
      <x:c r="Q201" s="71" t="str">
        <x:f>IF($A201="","",IF(COUNTIFS('Activity Log'!$C$6:$C$1005,$A201,'Activity Log'!$J$6:$J$1005,"No",'Activity Log'!$I$6:$I$1005,"&gt;0")=0,"",MINIFS('Activity Log'!$I$6:$I$1005,'Activity Log'!$C$6:$C$1005,$A201,'Activity Log'!$J$6:$J$1005,"No",'Activity Log'!$I$6:$I$1005,"&gt;0")))</x:f>
      </x:c>
      <x:c r="R201" s="57" t="str">
        <x:f>IF($C201="","",IF(OR($K201="Won",$K201="Lost",$K201="Disqualified"),"Closed",IF($Q201="","No date",IF(INT($Q201)&lt;TODAY(),"Overdue",IF(INT($Q201)=TODAY(),"Today",IF(INT($Q201)&lt;=TODAY()+7,"Next 7 days","Later"))))))</x:f>
      </x:c>
      <x:c r="S201" s="57" t="str">
        <x:f>IF(OR($C201="",$P201=""),"",TODAY()-INT($P201))</x:f>
      </x:c>
      <x:c r="T201" s="54"/>
      <x:c r="U201" s="54"/>
      <x:c r="V201" s="63"/>
      <x:c r="W201" s="74"/>
      <x:c r="X201" s="77" t="str">
        <x:f>IF($C201="","",IFERROR(VLOOKUP($M201,'Lists &amp; Rules'!$L$5:$N$13,2,FALSE),0))</x:f>
      </x:c>
      <x:c r="Y201" s="80" t="str">
        <x:f>IF(OR($C201="",$W201=""),"",ROUND($W201*$X201,0))</x:f>
      </x:c>
      <x:c r="Z201" s="57" t="str">
        <x:f>IF($A201="","",COUNTIF('Activity Log'!$C$6:$C$1005,$A201))</x:f>
      </x:c>
      <x:c r="AA201" s="68"/>
      <x:c r="AB201" s="63"/>
    </x:row>
    <x:row r="202">
      <x:c r="A202" s="54"/>
      <x:c r="B202" s="68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4"/>
      <x:c r="N202" s="54"/>
      <x:c r="O202" s="57" t="str">
        <x:f>IF($C202="","",MAX(0,MIN(100,IFERROR(VLOOKUP($L202,'Lists &amp; Rules'!$P$5:$Q$8,2,FALSE),0)+IFERROR(VLOOKUP($N202,'Lists &amp; Rules'!$S$5:$T$7,2,FALSE),0)+IFERROR(VLOOKUP($M202,'Lists &amp; Rules'!$L$5:$N$13,3,FALSE),0)+IF($R202="Overdue",-10,IF($R202="Today",5,0))+MIN(15,$Z202*3))))</x:f>
      </x:c>
      <x:c r="P202" s="71" t="str">
        <x:f>IF($A202="","",IF(COUNTIF('Activity Log'!$C$6:$C$1005,$A202)=0,"",MAXIFS('Activity Log'!$B$6:$B$1005,'Activity Log'!$C$6:$C$1005,$A202)))</x:f>
      </x:c>
      <x:c r="Q202" s="71" t="str">
        <x:f>IF($A202="","",IF(COUNTIFS('Activity Log'!$C$6:$C$1005,$A202,'Activity Log'!$J$6:$J$1005,"No",'Activity Log'!$I$6:$I$1005,"&gt;0")=0,"",MINIFS('Activity Log'!$I$6:$I$1005,'Activity Log'!$C$6:$C$1005,$A202,'Activity Log'!$J$6:$J$1005,"No",'Activity Log'!$I$6:$I$1005,"&gt;0")))</x:f>
      </x:c>
      <x:c r="R202" s="57" t="str">
        <x:f>IF($C202="","",IF(OR($K202="Won",$K202="Lost",$K202="Disqualified"),"Closed",IF($Q202="","No date",IF(INT($Q202)&lt;TODAY(),"Overdue",IF(INT($Q202)=TODAY(),"Today",IF(INT($Q202)&lt;=TODAY()+7,"Next 7 days","Later"))))))</x:f>
      </x:c>
      <x:c r="S202" s="57" t="str">
        <x:f>IF(OR($C202="",$P202=""),"",TODAY()-INT($P202))</x:f>
      </x:c>
      <x:c r="T202" s="54"/>
      <x:c r="U202" s="54"/>
      <x:c r="V202" s="63"/>
      <x:c r="W202" s="74"/>
      <x:c r="X202" s="77" t="str">
        <x:f>IF($C202="","",IFERROR(VLOOKUP($M202,'Lists &amp; Rules'!$L$5:$N$13,2,FALSE),0))</x:f>
      </x:c>
      <x:c r="Y202" s="80" t="str">
        <x:f>IF(OR($C202="",$W202=""),"",ROUND($W202*$X202,0))</x:f>
      </x:c>
      <x:c r="Z202" s="57" t="str">
        <x:f>IF($A202="","",COUNTIF('Activity Log'!$C$6:$C$1005,$A202))</x:f>
      </x:c>
      <x:c r="AA202" s="68"/>
      <x:c r="AB202" s="63"/>
    </x:row>
    <x:row r="203">
      <x:c r="A203" s="54"/>
      <x:c r="B203" s="68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4"/>
      <x:c r="N203" s="54"/>
      <x:c r="O203" s="57" t="str">
        <x:f>IF($C203="","",MAX(0,MIN(100,IFERROR(VLOOKUP($L203,'Lists &amp; Rules'!$P$5:$Q$8,2,FALSE),0)+IFERROR(VLOOKUP($N203,'Lists &amp; Rules'!$S$5:$T$7,2,FALSE),0)+IFERROR(VLOOKUP($M203,'Lists &amp; Rules'!$L$5:$N$13,3,FALSE),0)+IF($R203="Overdue",-10,IF($R203="Today",5,0))+MIN(15,$Z203*3))))</x:f>
      </x:c>
      <x:c r="P203" s="71" t="str">
        <x:f>IF($A203="","",IF(COUNTIF('Activity Log'!$C$6:$C$1005,$A203)=0,"",MAXIFS('Activity Log'!$B$6:$B$1005,'Activity Log'!$C$6:$C$1005,$A203)))</x:f>
      </x:c>
      <x:c r="Q203" s="71" t="str">
        <x:f>IF($A203="","",IF(COUNTIFS('Activity Log'!$C$6:$C$1005,$A203,'Activity Log'!$J$6:$J$1005,"No",'Activity Log'!$I$6:$I$1005,"&gt;0")=0,"",MINIFS('Activity Log'!$I$6:$I$1005,'Activity Log'!$C$6:$C$1005,$A203,'Activity Log'!$J$6:$J$1005,"No",'Activity Log'!$I$6:$I$1005,"&gt;0")))</x:f>
      </x:c>
      <x:c r="R203" s="57" t="str">
        <x:f>IF($C203="","",IF(OR($K203="Won",$K203="Lost",$K203="Disqualified"),"Closed",IF($Q203="","No date",IF(INT($Q203)&lt;TODAY(),"Overdue",IF(INT($Q203)=TODAY(),"Today",IF(INT($Q203)&lt;=TODAY()+7,"Next 7 days","Later"))))))</x:f>
      </x:c>
      <x:c r="S203" s="57" t="str">
        <x:f>IF(OR($C203="",$P203=""),"",TODAY()-INT($P203))</x:f>
      </x:c>
      <x:c r="T203" s="54"/>
      <x:c r="U203" s="54"/>
      <x:c r="V203" s="63"/>
      <x:c r="W203" s="74"/>
      <x:c r="X203" s="77" t="str">
        <x:f>IF($C203="","",IFERROR(VLOOKUP($M203,'Lists &amp; Rules'!$L$5:$N$13,2,FALSE),0))</x:f>
      </x:c>
      <x:c r="Y203" s="80" t="str">
        <x:f>IF(OR($C203="",$W203=""),"",ROUND($W203*$X203,0))</x:f>
      </x:c>
      <x:c r="Z203" s="57" t="str">
        <x:f>IF($A203="","",COUNTIF('Activity Log'!$C$6:$C$1005,$A203))</x:f>
      </x:c>
      <x:c r="AA203" s="68"/>
      <x:c r="AB203" s="63"/>
    </x:row>
    <x:row r="204">
      <x:c r="A204" s="54"/>
      <x:c r="B204" s="68"/>
      <x:c r="C204" s="54"/>
      <x:c r="D204" s="54"/>
      <x:c r="E204" s="54"/>
      <x:c r="F204" s="54"/>
      <x:c r="G204" s="54"/>
      <x:c r="H204" s="54"/>
      <x:c r="I204" s="54"/>
      <x:c r="J204" s="54"/>
      <x:c r="K204" s="54"/>
      <x:c r="L204" s="54"/>
      <x:c r="M204" s="54"/>
      <x:c r="N204" s="54"/>
      <x:c r="O204" s="57" t="str">
        <x:f>IF($C204="","",MAX(0,MIN(100,IFERROR(VLOOKUP($L204,'Lists &amp; Rules'!$P$5:$Q$8,2,FALSE),0)+IFERROR(VLOOKUP($N204,'Lists &amp; Rules'!$S$5:$T$7,2,FALSE),0)+IFERROR(VLOOKUP($M204,'Lists &amp; Rules'!$L$5:$N$13,3,FALSE),0)+IF($R204="Overdue",-10,IF($R204="Today",5,0))+MIN(15,$Z204*3))))</x:f>
      </x:c>
      <x:c r="P204" s="71" t="str">
        <x:f>IF($A204="","",IF(COUNTIF('Activity Log'!$C$6:$C$1005,$A204)=0,"",MAXIFS('Activity Log'!$B$6:$B$1005,'Activity Log'!$C$6:$C$1005,$A204)))</x:f>
      </x:c>
      <x:c r="Q204" s="71" t="str">
        <x:f>IF($A204="","",IF(COUNTIFS('Activity Log'!$C$6:$C$1005,$A204,'Activity Log'!$J$6:$J$1005,"No",'Activity Log'!$I$6:$I$1005,"&gt;0")=0,"",MINIFS('Activity Log'!$I$6:$I$1005,'Activity Log'!$C$6:$C$1005,$A204,'Activity Log'!$J$6:$J$1005,"No",'Activity Log'!$I$6:$I$1005,"&gt;0")))</x:f>
      </x:c>
      <x:c r="R204" s="57" t="str">
        <x:f>IF($C204="","",IF(OR($K204="Won",$K204="Lost",$K204="Disqualified"),"Closed",IF($Q204="","No date",IF(INT($Q204)&lt;TODAY(),"Overdue",IF(INT($Q204)=TODAY(),"Today",IF(INT($Q204)&lt;=TODAY()+7,"Next 7 days","Later"))))))</x:f>
      </x:c>
      <x:c r="S204" s="57" t="str">
        <x:f>IF(OR($C204="",$P204=""),"",TODAY()-INT($P204))</x:f>
      </x:c>
      <x:c r="T204" s="54"/>
      <x:c r="U204" s="54"/>
      <x:c r="V204" s="63"/>
      <x:c r="W204" s="74"/>
      <x:c r="X204" s="77" t="str">
        <x:f>IF($C204="","",IFERROR(VLOOKUP($M204,'Lists &amp; Rules'!$L$5:$N$13,2,FALSE),0))</x:f>
      </x:c>
      <x:c r="Y204" s="80" t="str">
        <x:f>IF(OR($C204="",$W204=""),"",ROUND($W204*$X204,0))</x:f>
      </x:c>
      <x:c r="Z204" s="57" t="str">
        <x:f>IF($A204="","",COUNTIF('Activity Log'!$C$6:$C$1005,$A204))</x:f>
      </x:c>
      <x:c r="AA204" s="68"/>
      <x:c r="AB204" s="63"/>
    </x:row>
    <x:row r="205">
      <x:c r="A205" s="54"/>
      <x:c r="B205" s="68"/>
      <x:c r="C205" s="54"/>
      <x:c r="D205" s="54"/>
      <x:c r="E205" s="54"/>
      <x:c r="F205" s="54"/>
      <x:c r="G205" s="54"/>
      <x:c r="H205" s="54"/>
      <x:c r="I205" s="54"/>
      <x:c r="J205" s="54"/>
      <x:c r="K205" s="54"/>
      <x:c r="L205" s="54"/>
      <x:c r="M205" s="54"/>
      <x:c r="N205" s="54"/>
      <x:c r="O205" s="57" t="str">
        <x:f>IF($C205="","",MAX(0,MIN(100,IFERROR(VLOOKUP($L205,'Lists &amp; Rules'!$P$5:$Q$8,2,FALSE),0)+IFERROR(VLOOKUP($N205,'Lists &amp; Rules'!$S$5:$T$7,2,FALSE),0)+IFERROR(VLOOKUP($M205,'Lists &amp; Rules'!$L$5:$N$13,3,FALSE),0)+IF($R205="Overdue",-10,IF($R205="Today",5,0))+MIN(15,$Z205*3))))</x:f>
      </x:c>
      <x:c r="P205" s="71" t="str">
        <x:f>IF($A205="","",IF(COUNTIF('Activity Log'!$C$6:$C$1005,$A205)=0,"",MAXIFS('Activity Log'!$B$6:$B$1005,'Activity Log'!$C$6:$C$1005,$A205)))</x:f>
      </x:c>
      <x:c r="Q205" s="71" t="str">
        <x:f>IF($A205="","",IF(COUNTIFS('Activity Log'!$C$6:$C$1005,$A205,'Activity Log'!$J$6:$J$1005,"No",'Activity Log'!$I$6:$I$1005,"&gt;0")=0,"",MINIFS('Activity Log'!$I$6:$I$1005,'Activity Log'!$C$6:$C$1005,$A205,'Activity Log'!$J$6:$J$1005,"No",'Activity Log'!$I$6:$I$1005,"&gt;0")))</x:f>
      </x:c>
      <x:c r="R205" s="57" t="str">
        <x:f>IF($C205="","",IF(OR($K205="Won",$K205="Lost",$K205="Disqualified"),"Closed",IF($Q205="","No date",IF(INT($Q205)&lt;TODAY(),"Overdue",IF(INT($Q205)=TODAY(),"Today",IF(INT($Q205)&lt;=TODAY()+7,"Next 7 days","Later"))))))</x:f>
      </x:c>
      <x:c r="S205" s="57" t="str">
        <x:f>IF(OR($C205="",$P205=""),"",TODAY()-INT($P205))</x:f>
      </x:c>
      <x:c r="T205" s="54"/>
      <x:c r="U205" s="54"/>
      <x:c r="V205" s="63"/>
      <x:c r="W205" s="74"/>
      <x:c r="X205" s="77" t="str">
        <x:f>IF($C205="","",IFERROR(VLOOKUP($M205,'Lists &amp; Rules'!$L$5:$N$13,2,FALSE),0))</x:f>
      </x:c>
      <x:c r="Y205" s="80" t="str">
        <x:f>IF(OR($C205="",$W205=""),"",ROUND($W205*$X205,0))</x:f>
      </x:c>
      <x:c r="Z205" s="57" t="str">
        <x:f>IF($A205="","",COUNTIF('Activity Log'!$C$6:$C$1005,$A205))</x:f>
      </x:c>
      <x:c r="AA205" s="68"/>
      <x:c r="AB205" s="63"/>
    </x:row>
    <x:row r="206">
      <x:c r="A206" s="54"/>
      <x:c r="B206" s="68"/>
      <x:c r="C206" s="54"/>
      <x:c r="D206" s="54"/>
      <x:c r="E206" s="54"/>
      <x:c r="F206" s="54"/>
      <x:c r="G206" s="54"/>
      <x:c r="H206" s="54"/>
      <x:c r="I206" s="54"/>
      <x:c r="J206" s="54"/>
      <x:c r="K206" s="54"/>
      <x:c r="L206" s="54"/>
      <x:c r="M206" s="54"/>
      <x:c r="N206" s="54"/>
      <x:c r="O206" s="57" t="str">
        <x:f>IF($C206="","",MAX(0,MIN(100,IFERROR(VLOOKUP($L206,'Lists &amp; Rules'!$P$5:$Q$8,2,FALSE),0)+IFERROR(VLOOKUP($N206,'Lists &amp; Rules'!$S$5:$T$7,2,FALSE),0)+IFERROR(VLOOKUP($M206,'Lists &amp; Rules'!$L$5:$N$13,3,FALSE),0)+IF($R206="Overdue",-10,IF($R206="Today",5,0))+MIN(15,$Z206*3))))</x:f>
      </x:c>
      <x:c r="P206" s="71" t="str">
        <x:f>IF($A206="","",IF(COUNTIF('Activity Log'!$C$6:$C$1005,$A206)=0,"",MAXIFS('Activity Log'!$B$6:$B$1005,'Activity Log'!$C$6:$C$1005,$A206)))</x:f>
      </x:c>
      <x:c r="Q206" s="71" t="str">
        <x:f>IF($A206="","",IF(COUNTIFS('Activity Log'!$C$6:$C$1005,$A206,'Activity Log'!$J$6:$J$1005,"No",'Activity Log'!$I$6:$I$1005,"&gt;0")=0,"",MINIFS('Activity Log'!$I$6:$I$1005,'Activity Log'!$C$6:$C$1005,$A206,'Activity Log'!$J$6:$J$1005,"No",'Activity Log'!$I$6:$I$1005,"&gt;0")))</x:f>
      </x:c>
      <x:c r="R206" s="57" t="str">
        <x:f>IF($C206="","",IF(OR($K206="Won",$K206="Lost",$K206="Disqualified"),"Closed",IF($Q206="","No date",IF(INT($Q206)&lt;TODAY(),"Overdue",IF(INT($Q206)=TODAY(),"Today",IF(INT($Q206)&lt;=TODAY()+7,"Next 7 days","Later"))))))</x:f>
      </x:c>
      <x:c r="S206" s="57" t="str">
        <x:f>IF(OR($C206="",$P206=""),"",TODAY()-INT($P206))</x:f>
      </x:c>
      <x:c r="T206" s="54"/>
      <x:c r="U206" s="54"/>
      <x:c r="V206" s="63"/>
      <x:c r="W206" s="74"/>
      <x:c r="X206" s="77" t="str">
        <x:f>IF($C206="","",IFERROR(VLOOKUP($M206,'Lists &amp; Rules'!$L$5:$N$13,2,FALSE),0))</x:f>
      </x:c>
      <x:c r="Y206" s="80" t="str">
        <x:f>IF(OR($C206="",$W206=""),"",ROUND($W206*$X206,0))</x:f>
      </x:c>
      <x:c r="Z206" s="57" t="str">
        <x:f>IF($A206="","",COUNTIF('Activity Log'!$C$6:$C$1005,$A206))</x:f>
      </x:c>
      <x:c r="AA206" s="68"/>
      <x:c r="AB206" s="63"/>
    </x:row>
    <x:row r="207">
      <x:c r="A207" s="54"/>
      <x:c r="B207" s="68"/>
      <x:c r="C207" s="54"/>
      <x:c r="D207" s="54"/>
      <x:c r="E207" s="54"/>
      <x:c r="F207" s="54"/>
      <x:c r="G207" s="54"/>
      <x:c r="H207" s="54"/>
      <x:c r="I207" s="54"/>
      <x:c r="J207" s="54"/>
      <x:c r="K207" s="54"/>
      <x:c r="L207" s="54"/>
      <x:c r="M207" s="54"/>
      <x:c r="N207" s="54"/>
      <x:c r="O207" s="57" t="str">
        <x:f>IF($C207="","",MAX(0,MIN(100,IFERROR(VLOOKUP($L207,'Lists &amp; Rules'!$P$5:$Q$8,2,FALSE),0)+IFERROR(VLOOKUP($N207,'Lists &amp; Rules'!$S$5:$T$7,2,FALSE),0)+IFERROR(VLOOKUP($M207,'Lists &amp; Rules'!$L$5:$N$13,3,FALSE),0)+IF($R207="Overdue",-10,IF($R207="Today",5,0))+MIN(15,$Z207*3))))</x:f>
      </x:c>
      <x:c r="P207" s="71" t="str">
        <x:f>IF($A207="","",IF(COUNTIF('Activity Log'!$C$6:$C$1005,$A207)=0,"",MAXIFS('Activity Log'!$B$6:$B$1005,'Activity Log'!$C$6:$C$1005,$A207)))</x:f>
      </x:c>
      <x:c r="Q207" s="71" t="str">
        <x:f>IF($A207="","",IF(COUNTIFS('Activity Log'!$C$6:$C$1005,$A207,'Activity Log'!$J$6:$J$1005,"No",'Activity Log'!$I$6:$I$1005,"&gt;0")=0,"",MINIFS('Activity Log'!$I$6:$I$1005,'Activity Log'!$C$6:$C$1005,$A207,'Activity Log'!$J$6:$J$1005,"No",'Activity Log'!$I$6:$I$1005,"&gt;0")))</x:f>
      </x:c>
      <x:c r="R207" s="57" t="str">
        <x:f>IF($C207="","",IF(OR($K207="Won",$K207="Lost",$K207="Disqualified"),"Closed",IF($Q207="","No date",IF(INT($Q207)&lt;TODAY(),"Overdue",IF(INT($Q207)=TODAY(),"Today",IF(INT($Q207)&lt;=TODAY()+7,"Next 7 days","Later"))))))</x:f>
      </x:c>
      <x:c r="S207" s="57" t="str">
        <x:f>IF(OR($C207="",$P207=""),"",TODAY()-INT($P207))</x:f>
      </x:c>
      <x:c r="T207" s="54"/>
      <x:c r="U207" s="54"/>
      <x:c r="V207" s="63"/>
      <x:c r="W207" s="74"/>
      <x:c r="X207" s="77" t="str">
        <x:f>IF($C207="","",IFERROR(VLOOKUP($M207,'Lists &amp; Rules'!$L$5:$N$13,2,FALSE),0))</x:f>
      </x:c>
      <x:c r="Y207" s="80" t="str">
        <x:f>IF(OR($C207="",$W207=""),"",ROUND($W207*$X207,0))</x:f>
      </x:c>
      <x:c r="Z207" s="57" t="str">
        <x:f>IF($A207="","",COUNTIF('Activity Log'!$C$6:$C$1005,$A207))</x:f>
      </x:c>
      <x:c r="AA207" s="68"/>
      <x:c r="AB207" s="63"/>
    </x:row>
    <x:row r="208">
      <x:c r="A208" s="54"/>
      <x:c r="B208" s="68"/>
      <x:c r="C208" s="54"/>
      <x:c r="D208" s="54"/>
      <x:c r="E208" s="54"/>
      <x:c r="F208" s="54"/>
      <x:c r="G208" s="54"/>
      <x:c r="H208" s="54"/>
      <x:c r="I208" s="54"/>
      <x:c r="J208" s="54"/>
      <x:c r="K208" s="54"/>
      <x:c r="L208" s="54"/>
      <x:c r="M208" s="54"/>
      <x:c r="N208" s="54"/>
      <x:c r="O208" s="57" t="str">
        <x:f>IF($C208="","",MAX(0,MIN(100,IFERROR(VLOOKUP($L208,'Lists &amp; Rules'!$P$5:$Q$8,2,FALSE),0)+IFERROR(VLOOKUP($N208,'Lists &amp; Rules'!$S$5:$T$7,2,FALSE),0)+IFERROR(VLOOKUP($M208,'Lists &amp; Rules'!$L$5:$N$13,3,FALSE),0)+IF($R208="Overdue",-10,IF($R208="Today",5,0))+MIN(15,$Z208*3))))</x:f>
      </x:c>
      <x:c r="P208" s="71" t="str">
        <x:f>IF($A208="","",IF(COUNTIF('Activity Log'!$C$6:$C$1005,$A208)=0,"",MAXIFS('Activity Log'!$B$6:$B$1005,'Activity Log'!$C$6:$C$1005,$A208)))</x:f>
      </x:c>
      <x:c r="Q208" s="71" t="str">
        <x:f>IF($A208="","",IF(COUNTIFS('Activity Log'!$C$6:$C$1005,$A208,'Activity Log'!$J$6:$J$1005,"No",'Activity Log'!$I$6:$I$1005,"&gt;0")=0,"",MINIFS('Activity Log'!$I$6:$I$1005,'Activity Log'!$C$6:$C$1005,$A208,'Activity Log'!$J$6:$J$1005,"No",'Activity Log'!$I$6:$I$1005,"&gt;0")))</x:f>
      </x:c>
      <x:c r="R208" s="57" t="str">
        <x:f>IF($C208="","",IF(OR($K208="Won",$K208="Lost",$K208="Disqualified"),"Closed",IF($Q208="","No date",IF(INT($Q208)&lt;TODAY(),"Overdue",IF(INT($Q208)=TODAY(),"Today",IF(INT($Q208)&lt;=TODAY()+7,"Next 7 days","Later"))))))</x:f>
      </x:c>
      <x:c r="S208" s="57" t="str">
        <x:f>IF(OR($C208="",$P208=""),"",TODAY()-INT($P208))</x:f>
      </x:c>
      <x:c r="T208" s="54"/>
      <x:c r="U208" s="54"/>
      <x:c r="V208" s="63"/>
      <x:c r="W208" s="74"/>
      <x:c r="X208" s="77" t="str">
        <x:f>IF($C208="","",IFERROR(VLOOKUP($M208,'Lists &amp; Rules'!$L$5:$N$13,2,FALSE),0))</x:f>
      </x:c>
      <x:c r="Y208" s="80" t="str">
        <x:f>IF(OR($C208="",$W208=""),"",ROUND($W208*$X208,0))</x:f>
      </x:c>
      <x:c r="Z208" s="57" t="str">
        <x:f>IF($A208="","",COUNTIF('Activity Log'!$C$6:$C$1005,$A208))</x:f>
      </x:c>
      <x:c r="AA208" s="68"/>
      <x:c r="AB208" s="63"/>
    </x:row>
    <x:row r="209">
      <x:c r="A209" s="54"/>
      <x:c r="B209" s="68"/>
      <x:c r="C209" s="54"/>
      <x:c r="D209" s="54"/>
      <x:c r="E209" s="54"/>
      <x:c r="F209" s="54"/>
      <x:c r="G209" s="54"/>
      <x:c r="H209" s="54"/>
      <x:c r="I209" s="54"/>
      <x:c r="J209" s="54"/>
      <x:c r="K209" s="54"/>
      <x:c r="L209" s="54"/>
      <x:c r="M209" s="54"/>
      <x:c r="N209" s="54"/>
      <x:c r="O209" s="57" t="str">
        <x:f>IF($C209="","",MAX(0,MIN(100,IFERROR(VLOOKUP($L209,'Lists &amp; Rules'!$P$5:$Q$8,2,FALSE),0)+IFERROR(VLOOKUP($N209,'Lists &amp; Rules'!$S$5:$T$7,2,FALSE),0)+IFERROR(VLOOKUP($M209,'Lists &amp; Rules'!$L$5:$N$13,3,FALSE),0)+IF($R209="Overdue",-10,IF($R209="Today",5,0))+MIN(15,$Z209*3))))</x:f>
      </x:c>
      <x:c r="P209" s="71" t="str">
        <x:f>IF($A209="","",IF(COUNTIF('Activity Log'!$C$6:$C$1005,$A209)=0,"",MAXIFS('Activity Log'!$B$6:$B$1005,'Activity Log'!$C$6:$C$1005,$A209)))</x:f>
      </x:c>
      <x:c r="Q209" s="71" t="str">
        <x:f>IF($A209="","",IF(COUNTIFS('Activity Log'!$C$6:$C$1005,$A209,'Activity Log'!$J$6:$J$1005,"No",'Activity Log'!$I$6:$I$1005,"&gt;0")=0,"",MINIFS('Activity Log'!$I$6:$I$1005,'Activity Log'!$C$6:$C$1005,$A209,'Activity Log'!$J$6:$J$1005,"No",'Activity Log'!$I$6:$I$1005,"&gt;0")))</x:f>
      </x:c>
      <x:c r="R209" s="57" t="str">
        <x:f>IF($C209="","",IF(OR($K209="Won",$K209="Lost",$K209="Disqualified"),"Closed",IF($Q209="","No date",IF(INT($Q209)&lt;TODAY(),"Overdue",IF(INT($Q209)=TODAY(),"Today",IF(INT($Q209)&lt;=TODAY()+7,"Next 7 days","Later"))))))</x:f>
      </x:c>
      <x:c r="S209" s="57" t="str">
        <x:f>IF(OR($C209="",$P209=""),"",TODAY()-INT($P209))</x:f>
      </x:c>
      <x:c r="T209" s="54"/>
      <x:c r="U209" s="54"/>
      <x:c r="V209" s="63"/>
      <x:c r="W209" s="74"/>
      <x:c r="X209" s="77" t="str">
        <x:f>IF($C209="","",IFERROR(VLOOKUP($M209,'Lists &amp; Rules'!$L$5:$N$13,2,FALSE),0))</x:f>
      </x:c>
      <x:c r="Y209" s="80" t="str">
        <x:f>IF(OR($C209="",$W209=""),"",ROUND($W209*$X209,0))</x:f>
      </x:c>
      <x:c r="Z209" s="57" t="str">
        <x:f>IF($A209="","",COUNTIF('Activity Log'!$C$6:$C$1005,$A209))</x:f>
      </x:c>
      <x:c r="AA209" s="68"/>
      <x:c r="AB209" s="63"/>
    </x:row>
    <x:row r="210">
      <x:c r="A210" s="54"/>
      <x:c r="B210" s="68"/>
      <x:c r="C210" s="54"/>
      <x:c r="D210" s="54"/>
      <x:c r="E210" s="54"/>
      <x:c r="F210" s="54"/>
      <x:c r="G210" s="54"/>
      <x:c r="H210" s="54"/>
      <x:c r="I210" s="54"/>
      <x:c r="J210" s="54"/>
      <x:c r="K210" s="54"/>
      <x:c r="L210" s="54"/>
      <x:c r="M210" s="54"/>
      <x:c r="N210" s="54"/>
      <x:c r="O210" s="57" t="str">
        <x:f>IF($C210="","",MAX(0,MIN(100,IFERROR(VLOOKUP($L210,'Lists &amp; Rules'!$P$5:$Q$8,2,FALSE),0)+IFERROR(VLOOKUP($N210,'Lists &amp; Rules'!$S$5:$T$7,2,FALSE),0)+IFERROR(VLOOKUP($M210,'Lists &amp; Rules'!$L$5:$N$13,3,FALSE),0)+IF($R210="Overdue",-10,IF($R210="Today",5,0))+MIN(15,$Z210*3))))</x:f>
      </x:c>
      <x:c r="P210" s="71" t="str">
        <x:f>IF($A210="","",IF(COUNTIF('Activity Log'!$C$6:$C$1005,$A210)=0,"",MAXIFS('Activity Log'!$B$6:$B$1005,'Activity Log'!$C$6:$C$1005,$A210)))</x:f>
      </x:c>
      <x:c r="Q210" s="71" t="str">
        <x:f>IF($A210="","",IF(COUNTIFS('Activity Log'!$C$6:$C$1005,$A210,'Activity Log'!$J$6:$J$1005,"No",'Activity Log'!$I$6:$I$1005,"&gt;0")=0,"",MINIFS('Activity Log'!$I$6:$I$1005,'Activity Log'!$C$6:$C$1005,$A210,'Activity Log'!$J$6:$J$1005,"No",'Activity Log'!$I$6:$I$1005,"&gt;0")))</x:f>
      </x:c>
      <x:c r="R210" s="57" t="str">
        <x:f>IF($C210="","",IF(OR($K210="Won",$K210="Lost",$K210="Disqualified"),"Closed",IF($Q210="","No date",IF(INT($Q210)&lt;TODAY(),"Overdue",IF(INT($Q210)=TODAY(),"Today",IF(INT($Q210)&lt;=TODAY()+7,"Next 7 days","Later"))))))</x:f>
      </x:c>
      <x:c r="S210" s="57" t="str">
        <x:f>IF(OR($C210="",$P210=""),"",TODAY()-INT($P210))</x:f>
      </x:c>
      <x:c r="T210" s="54"/>
      <x:c r="U210" s="54"/>
      <x:c r="V210" s="63"/>
      <x:c r="W210" s="74"/>
      <x:c r="X210" s="77" t="str">
        <x:f>IF($C210="","",IFERROR(VLOOKUP($M210,'Lists &amp; Rules'!$L$5:$N$13,2,FALSE),0))</x:f>
      </x:c>
      <x:c r="Y210" s="80" t="str">
        <x:f>IF(OR($C210="",$W210=""),"",ROUND($W210*$X210,0))</x:f>
      </x:c>
      <x:c r="Z210" s="57" t="str">
        <x:f>IF($A210="","",COUNTIF('Activity Log'!$C$6:$C$1005,$A210))</x:f>
      </x:c>
      <x:c r="AA210" s="68"/>
      <x:c r="AB210" s="63"/>
    </x:row>
    <x:row r="211">
      <x:c r="A211" s="54"/>
      <x:c r="B211" s="68"/>
      <x:c r="C211" s="54"/>
      <x:c r="D211" s="54"/>
      <x:c r="E211" s="54"/>
      <x:c r="F211" s="54"/>
      <x:c r="G211" s="54"/>
      <x:c r="H211" s="54"/>
      <x:c r="I211" s="54"/>
      <x:c r="J211" s="54"/>
      <x:c r="K211" s="54"/>
      <x:c r="L211" s="54"/>
      <x:c r="M211" s="54"/>
      <x:c r="N211" s="54"/>
      <x:c r="O211" s="57" t="str">
        <x:f>IF($C211="","",MAX(0,MIN(100,IFERROR(VLOOKUP($L211,'Lists &amp; Rules'!$P$5:$Q$8,2,FALSE),0)+IFERROR(VLOOKUP($N211,'Lists &amp; Rules'!$S$5:$T$7,2,FALSE),0)+IFERROR(VLOOKUP($M211,'Lists &amp; Rules'!$L$5:$N$13,3,FALSE),0)+IF($R211="Overdue",-10,IF($R211="Today",5,0))+MIN(15,$Z211*3))))</x:f>
      </x:c>
      <x:c r="P211" s="71" t="str">
        <x:f>IF($A211="","",IF(COUNTIF('Activity Log'!$C$6:$C$1005,$A211)=0,"",MAXIFS('Activity Log'!$B$6:$B$1005,'Activity Log'!$C$6:$C$1005,$A211)))</x:f>
      </x:c>
      <x:c r="Q211" s="71" t="str">
        <x:f>IF($A211="","",IF(COUNTIFS('Activity Log'!$C$6:$C$1005,$A211,'Activity Log'!$J$6:$J$1005,"No",'Activity Log'!$I$6:$I$1005,"&gt;0")=0,"",MINIFS('Activity Log'!$I$6:$I$1005,'Activity Log'!$C$6:$C$1005,$A211,'Activity Log'!$J$6:$J$1005,"No",'Activity Log'!$I$6:$I$1005,"&gt;0")))</x:f>
      </x:c>
      <x:c r="R211" s="57" t="str">
        <x:f>IF($C211="","",IF(OR($K211="Won",$K211="Lost",$K211="Disqualified"),"Closed",IF($Q211="","No date",IF(INT($Q211)&lt;TODAY(),"Overdue",IF(INT($Q211)=TODAY(),"Today",IF(INT($Q211)&lt;=TODAY()+7,"Next 7 days","Later"))))))</x:f>
      </x:c>
      <x:c r="S211" s="57" t="str">
        <x:f>IF(OR($C211="",$P211=""),"",TODAY()-INT($P211))</x:f>
      </x:c>
      <x:c r="T211" s="54"/>
      <x:c r="U211" s="54"/>
      <x:c r="V211" s="63"/>
      <x:c r="W211" s="74"/>
      <x:c r="X211" s="77" t="str">
        <x:f>IF($C211="","",IFERROR(VLOOKUP($M211,'Lists &amp; Rules'!$L$5:$N$13,2,FALSE),0))</x:f>
      </x:c>
      <x:c r="Y211" s="80" t="str">
        <x:f>IF(OR($C211="",$W211=""),"",ROUND($W211*$X211,0))</x:f>
      </x:c>
      <x:c r="Z211" s="57" t="str">
        <x:f>IF($A211="","",COUNTIF('Activity Log'!$C$6:$C$1005,$A211))</x:f>
      </x:c>
      <x:c r="AA211" s="68"/>
      <x:c r="AB211" s="63"/>
    </x:row>
    <x:row r="212">
      <x:c r="A212" s="54"/>
      <x:c r="B212" s="68"/>
      <x:c r="C212" s="54"/>
      <x:c r="D212" s="54"/>
      <x:c r="E212" s="54"/>
      <x:c r="F212" s="54"/>
      <x:c r="G212" s="54"/>
      <x:c r="H212" s="54"/>
      <x:c r="I212" s="54"/>
      <x:c r="J212" s="54"/>
      <x:c r="K212" s="54"/>
      <x:c r="L212" s="54"/>
      <x:c r="M212" s="54"/>
      <x:c r="N212" s="54"/>
      <x:c r="O212" s="57" t="str">
        <x:f>IF($C212="","",MAX(0,MIN(100,IFERROR(VLOOKUP($L212,'Lists &amp; Rules'!$P$5:$Q$8,2,FALSE),0)+IFERROR(VLOOKUP($N212,'Lists &amp; Rules'!$S$5:$T$7,2,FALSE),0)+IFERROR(VLOOKUP($M212,'Lists &amp; Rules'!$L$5:$N$13,3,FALSE),0)+IF($R212="Overdue",-10,IF($R212="Today",5,0))+MIN(15,$Z212*3))))</x:f>
      </x:c>
      <x:c r="P212" s="71" t="str">
        <x:f>IF($A212="","",IF(COUNTIF('Activity Log'!$C$6:$C$1005,$A212)=0,"",MAXIFS('Activity Log'!$B$6:$B$1005,'Activity Log'!$C$6:$C$1005,$A212)))</x:f>
      </x:c>
      <x:c r="Q212" s="71" t="str">
        <x:f>IF($A212="","",IF(COUNTIFS('Activity Log'!$C$6:$C$1005,$A212,'Activity Log'!$J$6:$J$1005,"No",'Activity Log'!$I$6:$I$1005,"&gt;0")=0,"",MINIFS('Activity Log'!$I$6:$I$1005,'Activity Log'!$C$6:$C$1005,$A212,'Activity Log'!$J$6:$J$1005,"No",'Activity Log'!$I$6:$I$1005,"&gt;0")))</x:f>
      </x:c>
      <x:c r="R212" s="57" t="str">
        <x:f>IF($C212="","",IF(OR($K212="Won",$K212="Lost",$K212="Disqualified"),"Closed",IF($Q212="","No date",IF(INT($Q212)&lt;TODAY(),"Overdue",IF(INT($Q212)=TODAY(),"Today",IF(INT($Q212)&lt;=TODAY()+7,"Next 7 days","Later"))))))</x:f>
      </x:c>
      <x:c r="S212" s="57" t="str">
        <x:f>IF(OR($C212="",$P212=""),"",TODAY()-INT($P212))</x:f>
      </x:c>
      <x:c r="T212" s="54"/>
      <x:c r="U212" s="54"/>
      <x:c r="V212" s="63"/>
      <x:c r="W212" s="74"/>
      <x:c r="X212" s="77" t="str">
        <x:f>IF($C212="","",IFERROR(VLOOKUP($M212,'Lists &amp; Rules'!$L$5:$N$13,2,FALSE),0))</x:f>
      </x:c>
      <x:c r="Y212" s="80" t="str">
        <x:f>IF(OR($C212="",$W212=""),"",ROUND($W212*$X212,0))</x:f>
      </x:c>
      <x:c r="Z212" s="57" t="str">
        <x:f>IF($A212="","",COUNTIF('Activity Log'!$C$6:$C$1005,$A212))</x:f>
      </x:c>
      <x:c r="AA212" s="68"/>
      <x:c r="AB212" s="63"/>
    </x:row>
    <x:row r="213">
      <x:c r="A213" s="54"/>
      <x:c r="B213" s="68"/>
      <x:c r="C213" s="54"/>
      <x:c r="D213" s="54"/>
      <x:c r="E213" s="54"/>
      <x:c r="F213" s="54"/>
      <x:c r="G213" s="54"/>
      <x:c r="H213" s="54"/>
      <x:c r="I213" s="54"/>
      <x:c r="J213" s="54"/>
      <x:c r="K213" s="54"/>
      <x:c r="L213" s="54"/>
      <x:c r="M213" s="54"/>
      <x:c r="N213" s="54"/>
      <x:c r="O213" s="57" t="str">
        <x:f>IF($C213="","",MAX(0,MIN(100,IFERROR(VLOOKUP($L213,'Lists &amp; Rules'!$P$5:$Q$8,2,FALSE),0)+IFERROR(VLOOKUP($N213,'Lists &amp; Rules'!$S$5:$T$7,2,FALSE),0)+IFERROR(VLOOKUP($M213,'Lists &amp; Rules'!$L$5:$N$13,3,FALSE),0)+IF($R213="Overdue",-10,IF($R213="Today",5,0))+MIN(15,$Z213*3))))</x:f>
      </x:c>
      <x:c r="P213" s="71" t="str">
        <x:f>IF($A213="","",IF(COUNTIF('Activity Log'!$C$6:$C$1005,$A213)=0,"",MAXIFS('Activity Log'!$B$6:$B$1005,'Activity Log'!$C$6:$C$1005,$A213)))</x:f>
      </x:c>
      <x:c r="Q213" s="71" t="str">
        <x:f>IF($A213="","",IF(COUNTIFS('Activity Log'!$C$6:$C$1005,$A213,'Activity Log'!$J$6:$J$1005,"No",'Activity Log'!$I$6:$I$1005,"&gt;0")=0,"",MINIFS('Activity Log'!$I$6:$I$1005,'Activity Log'!$C$6:$C$1005,$A213,'Activity Log'!$J$6:$J$1005,"No",'Activity Log'!$I$6:$I$1005,"&gt;0")))</x:f>
      </x:c>
      <x:c r="R213" s="57" t="str">
        <x:f>IF($C213="","",IF(OR($K213="Won",$K213="Lost",$K213="Disqualified"),"Closed",IF($Q213="","No date",IF(INT($Q213)&lt;TODAY(),"Overdue",IF(INT($Q213)=TODAY(),"Today",IF(INT($Q213)&lt;=TODAY()+7,"Next 7 days","Later"))))))</x:f>
      </x:c>
      <x:c r="S213" s="57" t="str">
        <x:f>IF(OR($C213="",$P213=""),"",TODAY()-INT($P213))</x:f>
      </x:c>
      <x:c r="T213" s="54"/>
      <x:c r="U213" s="54"/>
      <x:c r="V213" s="63"/>
      <x:c r="W213" s="74"/>
      <x:c r="X213" s="77" t="str">
        <x:f>IF($C213="","",IFERROR(VLOOKUP($M213,'Lists &amp; Rules'!$L$5:$N$13,2,FALSE),0))</x:f>
      </x:c>
      <x:c r="Y213" s="80" t="str">
        <x:f>IF(OR($C213="",$W213=""),"",ROUND($W213*$X213,0))</x:f>
      </x:c>
      <x:c r="Z213" s="57" t="str">
        <x:f>IF($A213="","",COUNTIF('Activity Log'!$C$6:$C$1005,$A213))</x:f>
      </x:c>
      <x:c r="AA213" s="68"/>
      <x:c r="AB213" s="63"/>
    </x:row>
    <x:row r="214">
      <x:c r="A214" s="54"/>
      <x:c r="B214" s="68"/>
      <x:c r="C214" s="54"/>
      <x:c r="D214" s="54"/>
      <x:c r="E214" s="54"/>
      <x:c r="F214" s="54"/>
      <x:c r="G214" s="54"/>
      <x:c r="H214" s="54"/>
      <x:c r="I214" s="54"/>
      <x:c r="J214" s="54"/>
      <x:c r="K214" s="54"/>
      <x:c r="L214" s="54"/>
      <x:c r="M214" s="54"/>
      <x:c r="N214" s="54"/>
      <x:c r="O214" s="57" t="str">
        <x:f>IF($C214="","",MAX(0,MIN(100,IFERROR(VLOOKUP($L214,'Lists &amp; Rules'!$P$5:$Q$8,2,FALSE),0)+IFERROR(VLOOKUP($N214,'Lists &amp; Rules'!$S$5:$T$7,2,FALSE),0)+IFERROR(VLOOKUP($M214,'Lists &amp; Rules'!$L$5:$N$13,3,FALSE),0)+IF($R214="Overdue",-10,IF($R214="Today",5,0))+MIN(15,$Z214*3))))</x:f>
      </x:c>
      <x:c r="P214" s="71" t="str">
        <x:f>IF($A214="","",IF(COUNTIF('Activity Log'!$C$6:$C$1005,$A214)=0,"",MAXIFS('Activity Log'!$B$6:$B$1005,'Activity Log'!$C$6:$C$1005,$A214)))</x:f>
      </x:c>
      <x:c r="Q214" s="71" t="str">
        <x:f>IF($A214="","",IF(COUNTIFS('Activity Log'!$C$6:$C$1005,$A214,'Activity Log'!$J$6:$J$1005,"No",'Activity Log'!$I$6:$I$1005,"&gt;0")=0,"",MINIFS('Activity Log'!$I$6:$I$1005,'Activity Log'!$C$6:$C$1005,$A214,'Activity Log'!$J$6:$J$1005,"No",'Activity Log'!$I$6:$I$1005,"&gt;0")))</x:f>
      </x:c>
      <x:c r="R214" s="57" t="str">
        <x:f>IF($C214="","",IF(OR($K214="Won",$K214="Lost",$K214="Disqualified"),"Closed",IF($Q214="","No date",IF(INT($Q214)&lt;TODAY(),"Overdue",IF(INT($Q214)=TODAY(),"Today",IF(INT($Q214)&lt;=TODAY()+7,"Next 7 days","Later"))))))</x:f>
      </x:c>
      <x:c r="S214" s="57" t="str">
        <x:f>IF(OR($C214="",$P214=""),"",TODAY()-INT($P214))</x:f>
      </x:c>
      <x:c r="T214" s="54"/>
      <x:c r="U214" s="54"/>
      <x:c r="V214" s="63"/>
      <x:c r="W214" s="74"/>
      <x:c r="X214" s="77" t="str">
        <x:f>IF($C214="","",IFERROR(VLOOKUP($M214,'Lists &amp; Rules'!$L$5:$N$13,2,FALSE),0))</x:f>
      </x:c>
      <x:c r="Y214" s="80" t="str">
        <x:f>IF(OR($C214="",$W214=""),"",ROUND($W214*$X214,0))</x:f>
      </x:c>
      <x:c r="Z214" s="57" t="str">
        <x:f>IF($A214="","",COUNTIF('Activity Log'!$C$6:$C$1005,$A214))</x:f>
      </x:c>
      <x:c r="AA214" s="68"/>
      <x:c r="AB214" s="63"/>
    </x:row>
    <x:row r="215">
      <x:c r="A215" s="54"/>
      <x:c r="B215" s="68"/>
      <x:c r="C215" s="54"/>
      <x:c r="D215" s="54"/>
      <x:c r="E215" s="54"/>
      <x:c r="F215" s="54"/>
      <x:c r="G215" s="54"/>
      <x:c r="H215" s="54"/>
      <x:c r="I215" s="54"/>
      <x:c r="J215" s="54"/>
      <x:c r="K215" s="54"/>
      <x:c r="L215" s="54"/>
      <x:c r="M215" s="54"/>
      <x:c r="N215" s="54"/>
      <x:c r="O215" s="57" t="str">
        <x:f>IF($C215="","",MAX(0,MIN(100,IFERROR(VLOOKUP($L215,'Lists &amp; Rules'!$P$5:$Q$8,2,FALSE),0)+IFERROR(VLOOKUP($N215,'Lists &amp; Rules'!$S$5:$T$7,2,FALSE),0)+IFERROR(VLOOKUP($M215,'Lists &amp; Rules'!$L$5:$N$13,3,FALSE),0)+IF($R215="Overdue",-10,IF($R215="Today",5,0))+MIN(15,$Z215*3))))</x:f>
      </x:c>
      <x:c r="P215" s="71" t="str">
        <x:f>IF($A215="","",IF(COUNTIF('Activity Log'!$C$6:$C$1005,$A215)=0,"",MAXIFS('Activity Log'!$B$6:$B$1005,'Activity Log'!$C$6:$C$1005,$A215)))</x:f>
      </x:c>
      <x:c r="Q215" s="71" t="str">
        <x:f>IF($A215="","",IF(COUNTIFS('Activity Log'!$C$6:$C$1005,$A215,'Activity Log'!$J$6:$J$1005,"No",'Activity Log'!$I$6:$I$1005,"&gt;0")=0,"",MINIFS('Activity Log'!$I$6:$I$1005,'Activity Log'!$C$6:$C$1005,$A215,'Activity Log'!$J$6:$J$1005,"No",'Activity Log'!$I$6:$I$1005,"&gt;0")))</x:f>
      </x:c>
      <x:c r="R215" s="57" t="str">
        <x:f>IF($C215="","",IF(OR($K215="Won",$K215="Lost",$K215="Disqualified"),"Closed",IF($Q215="","No date",IF(INT($Q215)&lt;TODAY(),"Overdue",IF(INT($Q215)=TODAY(),"Today",IF(INT($Q215)&lt;=TODAY()+7,"Next 7 days","Later"))))))</x:f>
      </x:c>
      <x:c r="S215" s="57" t="str">
        <x:f>IF(OR($C215="",$P215=""),"",TODAY()-INT($P215))</x:f>
      </x:c>
      <x:c r="T215" s="54"/>
      <x:c r="U215" s="54"/>
      <x:c r="V215" s="63"/>
      <x:c r="W215" s="74"/>
      <x:c r="X215" s="77" t="str">
        <x:f>IF($C215="","",IFERROR(VLOOKUP($M215,'Lists &amp; Rules'!$L$5:$N$13,2,FALSE),0))</x:f>
      </x:c>
      <x:c r="Y215" s="80" t="str">
        <x:f>IF(OR($C215="",$W215=""),"",ROUND($W215*$X215,0))</x:f>
      </x:c>
      <x:c r="Z215" s="57" t="str">
        <x:f>IF($A215="","",COUNTIF('Activity Log'!$C$6:$C$1005,$A215))</x:f>
      </x:c>
      <x:c r="AA215" s="68"/>
      <x:c r="AB215" s="63"/>
    </x:row>
    <x:row r="216">
      <x:c r="A216" s="54"/>
      <x:c r="B216" s="68"/>
      <x:c r="C216" s="54"/>
      <x:c r="D216" s="54"/>
      <x:c r="E216" s="54"/>
      <x:c r="F216" s="54"/>
      <x:c r="G216" s="54"/>
      <x:c r="H216" s="54"/>
      <x:c r="I216" s="54"/>
      <x:c r="J216" s="54"/>
      <x:c r="K216" s="54"/>
      <x:c r="L216" s="54"/>
      <x:c r="M216" s="54"/>
      <x:c r="N216" s="54"/>
      <x:c r="O216" s="57" t="str">
        <x:f>IF($C216="","",MAX(0,MIN(100,IFERROR(VLOOKUP($L216,'Lists &amp; Rules'!$P$5:$Q$8,2,FALSE),0)+IFERROR(VLOOKUP($N216,'Lists &amp; Rules'!$S$5:$T$7,2,FALSE),0)+IFERROR(VLOOKUP($M216,'Lists &amp; Rules'!$L$5:$N$13,3,FALSE),0)+IF($R216="Overdue",-10,IF($R216="Today",5,0))+MIN(15,$Z216*3))))</x:f>
      </x:c>
      <x:c r="P216" s="71" t="str">
        <x:f>IF($A216="","",IF(COUNTIF('Activity Log'!$C$6:$C$1005,$A216)=0,"",MAXIFS('Activity Log'!$B$6:$B$1005,'Activity Log'!$C$6:$C$1005,$A216)))</x:f>
      </x:c>
      <x:c r="Q216" s="71" t="str">
        <x:f>IF($A216="","",IF(COUNTIFS('Activity Log'!$C$6:$C$1005,$A216,'Activity Log'!$J$6:$J$1005,"No",'Activity Log'!$I$6:$I$1005,"&gt;0")=0,"",MINIFS('Activity Log'!$I$6:$I$1005,'Activity Log'!$C$6:$C$1005,$A216,'Activity Log'!$J$6:$J$1005,"No",'Activity Log'!$I$6:$I$1005,"&gt;0")))</x:f>
      </x:c>
      <x:c r="R216" s="57" t="str">
        <x:f>IF($C216="","",IF(OR($K216="Won",$K216="Lost",$K216="Disqualified"),"Closed",IF($Q216="","No date",IF(INT($Q216)&lt;TODAY(),"Overdue",IF(INT($Q216)=TODAY(),"Today",IF(INT($Q216)&lt;=TODAY()+7,"Next 7 days","Later"))))))</x:f>
      </x:c>
      <x:c r="S216" s="57" t="str">
        <x:f>IF(OR($C216="",$P216=""),"",TODAY()-INT($P216))</x:f>
      </x:c>
      <x:c r="T216" s="54"/>
      <x:c r="U216" s="54"/>
      <x:c r="V216" s="63"/>
      <x:c r="W216" s="74"/>
      <x:c r="X216" s="77" t="str">
        <x:f>IF($C216="","",IFERROR(VLOOKUP($M216,'Lists &amp; Rules'!$L$5:$N$13,2,FALSE),0))</x:f>
      </x:c>
      <x:c r="Y216" s="80" t="str">
        <x:f>IF(OR($C216="",$W216=""),"",ROUND($W216*$X216,0))</x:f>
      </x:c>
      <x:c r="Z216" s="57" t="str">
        <x:f>IF($A216="","",COUNTIF('Activity Log'!$C$6:$C$1005,$A216))</x:f>
      </x:c>
      <x:c r="AA216" s="68"/>
      <x:c r="AB216" s="63"/>
    </x:row>
    <x:row r="217">
      <x:c r="A217" s="54"/>
      <x:c r="B217" s="68"/>
      <x:c r="C217" s="54"/>
      <x:c r="D217" s="54"/>
      <x:c r="E217" s="54"/>
      <x:c r="F217" s="54"/>
      <x:c r="G217" s="54"/>
      <x:c r="H217" s="54"/>
      <x:c r="I217" s="54"/>
      <x:c r="J217" s="54"/>
      <x:c r="K217" s="54"/>
      <x:c r="L217" s="54"/>
      <x:c r="M217" s="54"/>
      <x:c r="N217" s="54"/>
      <x:c r="O217" s="57" t="str">
        <x:f>IF($C217="","",MAX(0,MIN(100,IFERROR(VLOOKUP($L217,'Lists &amp; Rules'!$P$5:$Q$8,2,FALSE),0)+IFERROR(VLOOKUP($N217,'Lists &amp; Rules'!$S$5:$T$7,2,FALSE),0)+IFERROR(VLOOKUP($M217,'Lists &amp; Rules'!$L$5:$N$13,3,FALSE),0)+IF($R217="Overdue",-10,IF($R217="Today",5,0))+MIN(15,$Z217*3))))</x:f>
      </x:c>
      <x:c r="P217" s="71" t="str">
        <x:f>IF($A217="","",IF(COUNTIF('Activity Log'!$C$6:$C$1005,$A217)=0,"",MAXIFS('Activity Log'!$B$6:$B$1005,'Activity Log'!$C$6:$C$1005,$A217)))</x:f>
      </x:c>
      <x:c r="Q217" s="71" t="str">
        <x:f>IF($A217="","",IF(COUNTIFS('Activity Log'!$C$6:$C$1005,$A217,'Activity Log'!$J$6:$J$1005,"No",'Activity Log'!$I$6:$I$1005,"&gt;0")=0,"",MINIFS('Activity Log'!$I$6:$I$1005,'Activity Log'!$C$6:$C$1005,$A217,'Activity Log'!$J$6:$J$1005,"No",'Activity Log'!$I$6:$I$1005,"&gt;0")))</x:f>
      </x:c>
      <x:c r="R217" s="57" t="str">
        <x:f>IF($C217="","",IF(OR($K217="Won",$K217="Lost",$K217="Disqualified"),"Closed",IF($Q217="","No date",IF(INT($Q217)&lt;TODAY(),"Overdue",IF(INT($Q217)=TODAY(),"Today",IF(INT($Q217)&lt;=TODAY()+7,"Next 7 days","Later"))))))</x:f>
      </x:c>
      <x:c r="S217" s="57" t="str">
        <x:f>IF(OR($C217="",$P217=""),"",TODAY()-INT($P217))</x:f>
      </x:c>
      <x:c r="T217" s="54"/>
      <x:c r="U217" s="54"/>
      <x:c r="V217" s="63"/>
      <x:c r="W217" s="74"/>
      <x:c r="X217" s="77" t="str">
        <x:f>IF($C217="","",IFERROR(VLOOKUP($M217,'Lists &amp; Rules'!$L$5:$N$13,2,FALSE),0))</x:f>
      </x:c>
      <x:c r="Y217" s="80" t="str">
        <x:f>IF(OR($C217="",$W217=""),"",ROUND($W217*$X217,0))</x:f>
      </x:c>
      <x:c r="Z217" s="57" t="str">
        <x:f>IF($A217="","",COUNTIF('Activity Log'!$C$6:$C$1005,$A217))</x:f>
      </x:c>
      <x:c r="AA217" s="68"/>
      <x:c r="AB217" s="63"/>
    </x:row>
    <x:row r="218">
      <x:c r="A218" s="54"/>
      <x:c r="B218" s="68"/>
      <x:c r="C218" s="54"/>
      <x:c r="D218" s="54"/>
      <x:c r="E218" s="54"/>
      <x:c r="F218" s="54"/>
      <x:c r="G218" s="54"/>
      <x:c r="H218" s="54"/>
      <x:c r="I218" s="54"/>
      <x:c r="J218" s="54"/>
      <x:c r="K218" s="54"/>
      <x:c r="L218" s="54"/>
      <x:c r="M218" s="54"/>
      <x:c r="N218" s="54"/>
      <x:c r="O218" s="57" t="str">
        <x:f>IF($C218="","",MAX(0,MIN(100,IFERROR(VLOOKUP($L218,'Lists &amp; Rules'!$P$5:$Q$8,2,FALSE),0)+IFERROR(VLOOKUP($N218,'Lists &amp; Rules'!$S$5:$T$7,2,FALSE),0)+IFERROR(VLOOKUP($M218,'Lists &amp; Rules'!$L$5:$N$13,3,FALSE),0)+IF($R218="Overdue",-10,IF($R218="Today",5,0))+MIN(15,$Z218*3))))</x:f>
      </x:c>
      <x:c r="P218" s="71" t="str">
        <x:f>IF($A218="","",IF(COUNTIF('Activity Log'!$C$6:$C$1005,$A218)=0,"",MAXIFS('Activity Log'!$B$6:$B$1005,'Activity Log'!$C$6:$C$1005,$A218)))</x:f>
      </x:c>
      <x:c r="Q218" s="71" t="str">
        <x:f>IF($A218="","",IF(COUNTIFS('Activity Log'!$C$6:$C$1005,$A218,'Activity Log'!$J$6:$J$1005,"No",'Activity Log'!$I$6:$I$1005,"&gt;0")=0,"",MINIFS('Activity Log'!$I$6:$I$1005,'Activity Log'!$C$6:$C$1005,$A218,'Activity Log'!$J$6:$J$1005,"No",'Activity Log'!$I$6:$I$1005,"&gt;0")))</x:f>
      </x:c>
      <x:c r="R218" s="57" t="str">
        <x:f>IF($C218="","",IF(OR($K218="Won",$K218="Lost",$K218="Disqualified"),"Closed",IF($Q218="","No date",IF(INT($Q218)&lt;TODAY(),"Overdue",IF(INT($Q218)=TODAY(),"Today",IF(INT($Q218)&lt;=TODAY()+7,"Next 7 days","Later"))))))</x:f>
      </x:c>
      <x:c r="S218" s="57" t="str">
        <x:f>IF(OR($C218="",$P218=""),"",TODAY()-INT($P218))</x:f>
      </x:c>
      <x:c r="T218" s="54"/>
      <x:c r="U218" s="54"/>
      <x:c r="V218" s="63"/>
      <x:c r="W218" s="74"/>
      <x:c r="X218" s="77" t="str">
        <x:f>IF($C218="","",IFERROR(VLOOKUP($M218,'Lists &amp; Rules'!$L$5:$N$13,2,FALSE),0))</x:f>
      </x:c>
      <x:c r="Y218" s="80" t="str">
        <x:f>IF(OR($C218="",$W218=""),"",ROUND($W218*$X218,0))</x:f>
      </x:c>
      <x:c r="Z218" s="57" t="str">
        <x:f>IF($A218="","",COUNTIF('Activity Log'!$C$6:$C$1005,$A218))</x:f>
      </x:c>
      <x:c r="AA218" s="68"/>
      <x:c r="AB218" s="63"/>
    </x:row>
    <x:row r="219">
      <x:c r="A219" s="54"/>
      <x:c r="B219" s="68"/>
      <x:c r="C219" s="54"/>
      <x:c r="D219" s="54"/>
      <x:c r="E219" s="54"/>
      <x:c r="F219" s="54"/>
      <x:c r="G219" s="54"/>
      <x:c r="H219" s="54"/>
      <x:c r="I219" s="54"/>
      <x:c r="J219" s="54"/>
      <x:c r="K219" s="54"/>
      <x:c r="L219" s="54"/>
      <x:c r="M219" s="54"/>
      <x:c r="N219" s="54"/>
      <x:c r="O219" s="57" t="str">
        <x:f>IF($C219="","",MAX(0,MIN(100,IFERROR(VLOOKUP($L219,'Lists &amp; Rules'!$P$5:$Q$8,2,FALSE),0)+IFERROR(VLOOKUP($N219,'Lists &amp; Rules'!$S$5:$T$7,2,FALSE),0)+IFERROR(VLOOKUP($M219,'Lists &amp; Rules'!$L$5:$N$13,3,FALSE),0)+IF($R219="Overdue",-10,IF($R219="Today",5,0))+MIN(15,$Z219*3))))</x:f>
      </x:c>
      <x:c r="P219" s="71" t="str">
        <x:f>IF($A219="","",IF(COUNTIF('Activity Log'!$C$6:$C$1005,$A219)=0,"",MAXIFS('Activity Log'!$B$6:$B$1005,'Activity Log'!$C$6:$C$1005,$A219)))</x:f>
      </x:c>
      <x:c r="Q219" s="71" t="str">
        <x:f>IF($A219="","",IF(COUNTIFS('Activity Log'!$C$6:$C$1005,$A219,'Activity Log'!$J$6:$J$1005,"No",'Activity Log'!$I$6:$I$1005,"&gt;0")=0,"",MINIFS('Activity Log'!$I$6:$I$1005,'Activity Log'!$C$6:$C$1005,$A219,'Activity Log'!$J$6:$J$1005,"No",'Activity Log'!$I$6:$I$1005,"&gt;0")))</x:f>
      </x:c>
      <x:c r="R219" s="57" t="str">
        <x:f>IF($C219="","",IF(OR($K219="Won",$K219="Lost",$K219="Disqualified"),"Closed",IF($Q219="","No date",IF(INT($Q219)&lt;TODAY(),"Overdue",IF(INT($Q219)=TODAY(),"Today",IF(INT($Q219)&lt;=TODAY()+7,"Next 7 days","Later"))))))</x:f>
      </x:c>
      <x:c r="S219" s="57" t="str">
        <x:f>IF(OR($C219="",$P219=""),"",TODAY()-INT($P219))</x:f>
      </x:c>
      <x:c r="T219" s="54"/>
      <x:c r="U219" s="54"/>
      <x:c r="V219" s="63"/>
      <x:c r="W219" s="74"/>
      <x:c r="X219" s="77" t="str">
        <x:f>IF($C219="","",IFERROR(VLOOKUP($M219,'Lists &amp; Rules'!$L$5:$N$13,2,FALSE),0))</x:f>
      </x:c>
      <x:c r="Y219" s="80" t="str">
        <x:f>IF(OR($C219="",$W219=""),"",ROUND($W219*$X219,0))</x:f>
      </x:c>
      <x:c r="Z219" s="57" t="str">
        <x:f>IF($A219="","",COUNTIF('Activity Log'!$C$6:$C$1005,$A219))</x:f>
      </x:c>
      <x:c r="AA219" s="68"/>
      <x:c r="AB219" s="63"/>
    </x:row>
    <x:row r="220">
      <x:c r="A220" s="54"/>
      <x:c r="B220" s="68"/>
      <x:c r="C220" s="54"/>
      <x:c r="D220" s="54"/>
      <x:c r="E220" s="54"/>
      <x:c r="F220" s="54"/>
      <x:c r="G220" s="54"/>
      <x:c r="H220" s="54"/>
      <x:c r="I220" s="54"/>
      <x:c r="J220" s="54"/>
      <x:c r="K220" s="54"/>
      <x:c r="L220" s="54"/>
      <x:c r="M220" s="54"/>
      <x:c r="N220" s="54"/>
      <x:c r="O220" s="57" t="str">
        <x:f>IF($C220="","",MAX(0,MIN(100,IFERROR(VLOOKUP($L220,'Lists &amp; Rules'!$P$5:$Q$8,2,FALSE),0)+IFERROR(VLOOKUP($N220,'Lists &amp; Rules'!$S$5:$T$7,2,FALSE),0)+IFERROR(VLOOKUP($M220,'Lists &amp; Rules'!$L$5:$N$13,3,FALSE),0)+IF($R220="Overdue",-10,IF($R220="Today",5,0))+MIN(15,$Z220*3))))</x:f>
      </x:c>
      <x:c r="P220" s="71" t="str">
        <x:f>IF($A220="","",IF(COUNTIF('Activity Log'!$C$6:$C$1005,$A220)=0,"",MAXIFS('Activity Log'!$B$6:$B$1005,'Activity Log'!$C$6:$C$1005,$A220)))</x:f>
      </x:c>
      <x:c r="Q220" s="71" t="str">
        <x:f>IF($A220="","",IF(COUNTIFS('Activity Log'!$C$6:$C$1005,$A220,'Activity Log'!$J$6:$J$1005,"No",'Activity Log'!$I$6:$I$1005,"&gt;0")=0,"",MINIFS('Activity Log'!$I$6:$I$1005,'Activity Log'!$C$6:$C$1005,$A220,'Activity Log'!$J$6:$J$1005,"No",'Activity Log'!$I$6:$I$1005,"&gt;0")))</x:f>
      </x:c>
      <x:c r="R220" s="57" t="str">
        <x:f>IF($C220="","",IF(OR($K220="Won",$K220="Lost",$K220="Disqualified"),"Closed",IF($Q220="","No date",IF(INT($Q220)&lt;TODAY(),"Overdue",IF(INT($Q220)=TODAY(),"Today",IF(INT($Q220)&lt;=TODAY()+7,"Next 7 days","Later"))))))</x:f>
      </x:c>
      <x:c r="S220" s="57" t="str">
        <x:f>IF(OR($C220="",$P220=""),"",TODAY()-INT($P220))</x:f>
      </x:c>
      <x:c r="T220" s="54"/>
      <x:c r="U220" s="54"/>
      <x:c r="V220" s="63"/>
      <x:c r="W220" s="74"/>
      <x:c r="X220" s="77" t="str">
        <x:f>IF($C220="","",IFERROR(VLOOKUP($M220,'Lists &amp; Rules'!$L$5:$N$13,2,FALSE),0))</x:f>
      </x:c>
      <x:c r="Y220" s="80" t="str">
        <x:f>IF(OR($C220="",$W220=""),"",ROUND($W220*$X220,0))</x:f>
      </x:c>
      <x:c r="Z220" s="57" t="str">
        <x:f>IF($A220="","",COUNTIF('Activity Log'!$C$6:$C$1005,$A220))</x:f>
      </x:c>
      <x:c r="AA220" s="68"/>
      <x:c r="AB220" s="63"/>
    </x:row>
    <x:row r="221">
      <x:c r="A221" s="54"/>
      <x:c r="B221" s="68"/>
      <x:c r="C221" s="54"/>
      <x:c r="D221" s="54"/>
      <x:c r="E221" s="54"/>
      <x:c r="F221" s="54"/>
      <x:c r="G221" s="54"/>
      <x:c r="H221" s="54"/>
      <x:c r="I221" s="54"/>
      <x:c r="J221" s="54"/>
      <x:c r="K221" s="54"/>
      <x:c r="L221" s="54"/>
      <x:c r="M221" s="54"/>
      <x:c r="N221" s="54"/>
      <x:c r="O221" s="57" t="str">
        <x:f>IF($C221="","",MAX(0,MIN(100,IFERROR(VLOOKUP($L221,'Lists &amp; Rules'!$P$5:$Q$8,2,FALSE),0)+IFERROR(VLOOKUP($N221,'Lists &amp; Rules'!$S$5:$T$7,2,FALSE),0)+IFERROR(VLOOKUP($M221,'Lists &amp; Rules'!$L$5:$N$13,3,FALSE),0)+IF($R221="Overdue",-10,IF($R221="Today",5,0))+MIN(15,$Z221*3))))</x:f>
      </x:c>
      <x:c r="P221" s="71" t="str">
        <x:f>IF($A221="","",IF(COUNTIF('Activity Log'!$C$6:$C$1005,$A221)=0,"",MAXIFS('Activity Log'!$B$6:$B$1005,'Activity Log'!$C$6:$C$1005,$A221)))</x:f>
      </x:c>
      <x:c r="Q221" s="71" t="str">
        <x:f>IF($A221="","",IF(COUNTIFS('Activity Log'!$C$6:$C$1005,$A221,'Activity Log'!$J$6:$J$1005,"No",'Activity Log'!$I$6:$I$1005,"&gt;0")=0,"",MINIFS('Activity Log'!$I$6:$I$1005,'Activity Log'!$C$6:$C$1005,$A221,'Activity Log'!$J$6:$J$1005,"No",'Activity Log'!$I$6:$I$1005,"&gt;0")))</x:f>
      </x:c>
      <x:c r="R221" s="57" t="str">
        <x:f>IF($C221="","",IF(OR($K221="Won",$K221="Lost",$K221="Disqualified"),"Closed",IF($Q221="","No date",IF(INT($Q221)&lt;TODAY(),"Overdue",IF(INT($Q221)=TODAY(),"Today",IF(INT($Q221)&lt;=TODAY()+7,"Next 7 days","Later"))))))</x:f>
      </x:c>
      <x:c r="S221" s="57" t="str">
        <x:f>IF(OR($C221="",$P221=""),"",TODAY()-INT($P221))</x:f>
      </x:c>
      <x:c r="T221" s="54"/>
      <x:c r="U221" s="54"/>
      <x:c r="V221" s="63"/>
      <x:c r="W221" s="74"/>
      <x:c r="X221" s="77" t="str">
        <x:f>IF($C221="","",IFERROR(VLOOKUP($M221,'Lists &amp; Rules'!$L$5:$N$13,2,FALSE),0))</x:f>
      </x:c>
      <x:c r="Y221" s="80" t="str">
        <x:f>IF(OR($C221="",$W221=""),"",ROUND($W221*$X221,0))</x:f>
      </x:c>
      <x:c r="Z221" s="57" t="str">
        <x:f>IF($A221="","",COUNTIF('Activity Log'!$C$6:$C$1005,$A221))</x:f>
      </x:c>
      <x:c r="AA221" s="68"/>
      <x:c r="AB221" s="63"/>
    </x:row>
    <x:row r="222">
      <x:c r="A222" s="54"/>
      <x:c r="B222" s="68"/>
      <x:c r="C222" s="54"/>
      <x:c r="D222" s="54"/>
      <x:c r="E222" s="54"/>
      <x:c r="F222" s="54"/>
      <x:c r="G222" s="54"/>
      <x:c r="H222" s="54"/>
      <x:c r="I222" s="54"/>
      <x:c r="J222" s="54"/>
      <x:c r="K222" s="54"/>
      <x:c r="L222" s="54"/>
      <x:c r="M222" s="54"/>
      <x:c r="N222" s="54"/>
      <x:c r="O222" s="57" t="str">
        <x:f>IF($C222="","",MAX(0,MIN(100,IFERROR(VLOOKUP($L222,'Lists &amp; Rules'!$P$5:$Q$8,2,FALSE),0)+IFERROR(VLOOKUP($N222,'Lists &amp; Rules'!$S$5:$T$7,2,FALSE),0)+IFERROR(VLOOKUP($M222,'Lists &amp; Rules'!$L$5:$N$13,3,FALSE),0)+IF($R222="Overdue",-10,IF($R222="Today",5,0))+MIN(15,$Z222*3))))</x:f>
      </x:c>
      <x:c r="P222" s="71" t="str">
        <x:f>IF($A222="","",IF(COUNTIF('Activity Log'!$C$6:$C$1005,$A222)=0,"",MAXIFS('Activity Log'!$B$6:$B$1005,'Activity Log'!$C$6:$C$1005,$A222)))</x:f>
      </x:c>
      <x:c r="Q222" s="71" t="str">
        <x:f>IF($A222="","",IF(COUNTIFS('Activity Log'!$C$6:$C$1005,$A222,'Activity Log'!$J$6:$J$1005,"No",'Activity Log'!$I$6:$I$1005,"&gt;0")=0,"",MINIFS('Activity Log'!$I$6:$I$1005,'Activity Log'!$C$6:$C$1005,$A222,'Activity Log'!$J$6:$J$1005,"No",'Activity Log'!$I$6:$I$1005,"&gt;0")))</x:f>
      </x:c>
      <x:c r="R222" s="57" t="str">
        <x:f>IF($C222="","",IF(OR($K222="Won",$K222="Lost",$K222="Disqualified"),"Closed",IF($Q222="","No date",IF(INT($Q222)&lt;TODAY(),"Overdue",IF(INT($Q222)=TODAY(),"Today",IF(INT($Q222)&lt;=TODAY()+7,"Next 7 days","Later"))))))</x:f>
      </x:c>
      <x:c r="S222" s="57" t="str">
        <x:f>IF(OR($C222="",$P222=""),"",TODAY()-INT($P222))</x:f>
      </x:c>
      <x:c r="T222" s="54"/>
      <x:c r="U222" s="54"/>
      <x:c r="V222" s="63"/>
      <x:c r="W222" s="74"/>
      <x:c r="X222" s="77" t="str">
        <x:f>IF($C222="","",IFERROR(VLOOKUP($M222,'Lists &amp; Rules'!$L$5:$N$13,2,FALSE),0))</x:f>
      </x:c>
      <x:c r="Y222" s="80" t="str">
        <x:f>IF(OR($C222="",$W222=""),"",ROUND($W222*$X222,0))</x:f>
      </x:c>
      <x:c r="Z222" s="57" t="str">
        <x:f>IF($A222="","",COUNTIF('Activity Log'!$C$6:$C$1005,$A222))</x:f>
      </x:c>
      <x:c r="AA222" s="68"/>
      <x:c r="AB222" s="63"/>
    </x:row>
    <x:row r="223">
      <x:c r="A223" s="54"/>
      <x:c r="B223" s="68"/>
      <x:c r="C223" s="54"/>
      <x:c r="D223" s="54"/>
      <x:c r="E223" s="54"/>
      <x:c r="F223" s="54"/>
      <x:c r="G223" s="54"/>
      <x:c r="H223" s="54"/>
      <x:c r="I223" s="54"/>
      <x:c r="J223" s="54"/>
      <x:c r="K223" s="54"/>
      <x:c r="L223" s="54"/>
      <x:c r="M223" s="54"/>
      <x:c r="N223" s="54"/>
      <x:c r="O223" s="57" t="str">
        <x:f>IF($C223="","",MAX(0,MIN(100,IFERROR(VLOOKUP($L223,'Lists &amp; Rules'!$P$5:$Q$8,2,FALSE),0)+IFERROR(VLOOKUP($N223,'Lists &amp; Rules'!$S$5:$T$7,2,FALSE),0)+IFERROR(VLOOKUP($M223,'Lists &amp; Rules'!$L$5:$N$13,3,FALSE),0)+IF($R223="Overdue",-10,IF($R223="Today",5,0))+MIN(15,$Z223*3))))</x:f>
      </x:c>
      <x:c r="P223" s="71" t="str">
        <x:f>IF($A223="","",IF(COUNTIF('Activity Log'!$C$6:$C$1005,$A223)=0,"",MAXIFS('Activity Log'!$B$6:$B$1005,'Activity Log'!$C$6:$C$1005,$A223)))</x:f>
      </x:c>
      <x:c r="Q223" s="71" t="str">
        <x:f>IF($A223="","",IF(COUNTIFS('Activity Log'!$C$6:$C$1005,$A223,'Activity Log'!$J$6:$J$1005,"No",'Activity Log'!$I$6:$I$1005,"&gt;0")=0,"",MINIFS('Activity Log'!$I$6:$I$1005,'Activity Log'!$C$6:$C$1005,$A223,'Activity Log'!$J$6:$J$1005,"No",'Activity Log'!$I$6:$I$1005,"&gt;0")))</x:f>
      </x:c>
      <x:c r="R223" s="57" t="str">
        <x:f>IF($C223="","",IF(OR($K223="Won",$K223="Lost",$K223="Disqualified"),"Closed",IF($Q223="","No date",IF(INT($Q223)&lt;TODAY(),"Overdue",IF(INT($Q223)=TODAY(),"Today",IF(INT($Q223)&lt;=TODAY()+7,"Next 7 days","Later"))))))</x:f>
      </x:c>
      <x:c r="S223" s="57" t="str">
        <x:f>IF(OR($C223="",$P223=""),"",TODAY()-INT($P223))</x:f>
      </x:c>
      <x:c r="T223" s="54"/>
      <x:c r="U223" s="54"/>
      <x:c r="V223" s="63"/>
      <x:c r="W223" s="74"/>
      <x:c r="X223" s="77" t="str">
        <x:f>IF($C223="","",IFERROR(VLOOKUP($M223,'Lists &amp; Rules'!$L$5:$N$13,2,FALSE),0))</x:f>
      </x:c>
      <x:c r="Y223" s="80" t="str">
        <x:f>IF(OR($C223="",$W223=""),"",ROUND($W223*$X223,0))</x:f>
      </x:c>
      <x:c r="Z223" s="57" t="str">
        <x:f>IF($A223="","",COUNTIF('Activity Log'!$C$6:$C$1005,$A223))</x:f>
      </x:c>
      <x:c r="AA223" s="68"/>
      <x:c r="AB223" s="63"/>
    </x:row>
    <x:row r="224">
      <x:c r="A224" s="54"/>
      <x:c r="B224" s="68"/>
      <x:c r="C224" s="54"/>
      <x:c r="D224" s="54"/>
      <x:c r="E224" s="54"/>
      <x:c r="F224" s="54"/>
      <x:c r="G224" s="54"/>
      <x:c r="H224" s="54"/>
      <x:c r="I224" s="54"/>
      <x:c r="J224" s="54"/>
      <x:c r="K224" s="54"/>
      <x:c r="L224" s="54"/>
      <x:c r="M224" s="54"/>
      <x:c r="N224" s="54"/>
      <x:c r="O224" s="57" t="str">
        <x:f>IF($C224="","",MAX(0,MIN(100,IFERROR(VLOOKUP($L224,'Lists &amp; Rules'!$P$5:$Q$8,2,FALSE),0)+IFERROR(VLOOKUP($N224,'Lists &amp; Rules'!$S$5:$T$7,2,FALSE),0)+IFERROR(VLOOKUP($M224,'Lists &amp; Rules'!$L$5:$N$13,3,FALSE),0)+IF($R224="Overdue",-10,IF($R224="Today",5,0))+MIN(15,$Z224*3))))</x:f>
      </x:c>
      <x:c r="P224" s="71" t="str">
        <x:f>IF($A224="","",IF(COUNTIF('Activity Log'!$C$6:$C$1005,$A224)=0,"",MAXIFS('Activity Log'!$B$6:$B$1005,'Activity Log'!$C$6:$C$1005,$A224)))</x:f>
      </x:c>
      <x:c r="Q224" s="71" t="str">
        <x:f>IF($A224="","",IF(COUNTIFS('Activity Log'!$C$6:$C$1005,$A224,'Activity Log'!$J$6:$J$1005,"No",'Activity Log'!$I$6:$I$1005,"&gt;0")=0,"",MINIFS('Activity Log'!$I$6:$I$1005,'Activity Log'!$C$6:$C$1005,$A224,'Activity Log'!$J$6:$J$1005,"No",'Activity Log'!$I$6:$I$1005,"&gt;0")))</x:f>
      </x:c>
      <x:c r="R224" s="57" t="str">
        <x:f>IF($C224="","",IF(OR($K224="Won",$K224="Lost",$K224="Disqualified"),"Closed",IF($Q224="","No date",IF(INT($Q224)&lt;TODAY(),"Overdue",IF(INT($Q224)=TODAY(),"Today",IF(INT($Q224)&lt;=TODAY()+7,"Next 7 days","Later"))))))</x:f>
      </x:c>
      <x:c r="S224" s="57" t="str">
        <x:f>IF(OR($C224="",$P224=""),"",TODAY()-INT($P224))</x:f>
      </x:c>
      <x:c r="T224" s="54"/>
      <x:c r="U224" s="54"/>
      <x:c r="V224" s="63"/>
      <x:c r="W224" s="74"/>
      <x:c r="X224" s="77" t="str">
        <x:f>IF($C224="","",IFERROR(VLOOKUP($M224,'Lists &amp; Rules'!$L$5:$N$13,2,FALSE),0))</x:f>
      </x:c>
      <x:c r="Y224" s="80" t="str">
        <x:f>IF(OR($C224="",$W224=""),"",ROUND($W224*$X224,0))</x:f>
      </x:c>
      <x:c r="Z224" s="57" t="str">
        <x:f>IF($A224="","",COUNTIF('Activity Log'!$C$6:$C$1005,$A224))</x:f>
      </x:c>
      <x:c r="AA224" s="68"/>
      <x:c r="AB224" s="63"/>
    </x:row>
    <x:row r="225">
      <x:c r="A225" s="54"/>
      <x:c r="B225" s="68"/>
      <x:c r="C225" s="54"/>
      <x:c r="D225" s="54"/>
      <x:c r="E225" s="54"/>
      <x:c r="F225" s="54"/>
      <x:c r="G225" s="54"/>
      <x:c r="H225" s="54"/>
      <x:c r="I225" s="54"/>
      <x:c r="J225" s="54"/>
      <x:c r="K225" s="54"/>
      <x:c r="L225" s="54"/>
      <x:c r="M225" s="54"/>
      <x:c r="N225" s="54"/>
      <x:c r="O225" s="57" t="str">
        <x:f>IF($C225="","",MAX(0,MIN(100,IFERROR(VLOOKUP($L225,'Lists &amp; Rules'!$P$5:$Q$8,2,FALSE),0)+IFERROR(VLOOKUP($N225,'Lists &amp; Rules'!$S$5:$T$7,2,FALSE),0)+IFERROR(VLOOKUP($M225,'Lists &amp; Rules'!$L$5:$N$13,3,FALSE),0)+IF($R225="Overdue",-10,IF($R225="Today",5,0))+MIN(15,$Z225*3))))</x:f>
      </x:c>
      <x:c r="P225" s="71" t="str">
        <x:f>IF($A225="","",IF(COUNTIF('Activity Log'!$C$6:$C$1005,$A225)=0,"",MAXIFS('Activity Log'!$B$6:$B$1005,'Activity Log'!$C$6:$C$1005,$A225)))</x:f>
      </x:c>
      <x:c r="Q225" s="71" t="str">
        <x:f>IF($A225="","",IF(COUNTIFS('Activity Log'!$C$6:$C$1005,$A225,'Activity Log'!$J$6:$J$1005,"No",'Activity Log'!$I$6:$I$1005,"&gt;0")=0,"",MINIFS('Activity Log'!$I$6:$I$1005,'Activity Log'!$C$6:$C$1005,$A225,'Activity Log'!$J$6:$J$1005,"No",'Activity Log'!$I$6:$I$1005,"&gt;0")))</x:f>
      </x:c>
      <x:c r="R225" s="57" t="str">
        <x:f>IF($C225="","",IF(OR($K225="Won",$K225="Lost",$K225="Disqualified"),"Closed",IF($Q225="","No date",IF(INT($Q225)&lt;TODAY(),"Overdue",IF(INT($Q225)=TODAY(),"Today",IF(INT($Q225)&lt;=TODAY()+7,"Next 7 days","Later"))))))</x:f>
      </x:c>
      <x:c r="S225" s="57" t="str">
        <x:f>IF(OR($C225="",$P225=""),"",TODAY()-INT($P225))</x:f>
      </x:c>
      <x:c r="T225" s="54"/>
      <x:c r="U225" s="54"/>
      <x:c r="V225" s="63"/>
      <x:c r="W225" s="74"/>
      <x:c r="X225" s="77" t="str">
        <x:f>IF($C225="","",IFERROR(VLOOKUP($M225,'Lists &amp; Rules'!$L$5:$N$13,2,FALSE),0))</x:f>
      </x:c>
      <x:c r="Y225" s="80" t="str">
        <x:f>IF(OR($C225="",$W225=""),"",ROUND($W225*$X225,0))</x:f>
      </x:c>
      <x:c r="Z225" s="57" t="str">
        <x:f>IF($A225="","",COUNTIF('Activity Log'!$C$6:$C$1005,$A225))</x:f>
      </x:c>
      <x:c r="AA225" s="68"/>
      <x:c r="AB225" s="63"/>
    </x:row>
    <x:row r="226">
      <x:c r="A226" s="54"/>
      <x:c r="B226" s="68"/>
      <x:c r="C226" s="54"/>
      <x:c r="D226" s="54"/>
      <x:c r="E226" s="54"/>
      <x:c r="F226" s="54"/>
      <x:c r="G226" s="54"/>
      <x:c r="H226" s="54"/>
      <x:c r="I226" s="54"/>
      <x:c r="J226" s="54"/>
      <x:c r="K226" s="54"/>
      <x:c r="L226" s="54"/>
      <x:c r="M226" s="54"/>
      <x:c r="N226" s="54"/>
      <x:c r="O226" s="57" t="str">
        <x:f>IF($C226="","",MAX(0,MIN(100,IFERROR(VLOOKUP($L226,'Lists &amp; Rules'!$P$5:$Q$8,2,FALSE),0)+IFERROR(VLOOKUP($N226,'Lists &amp; Rules'!$S$5:$T$7,2,FALSE),0)+IFERROR(VLOOKUP($M226,'Lists &amp; Rules'!$L$5:$N$13,3,FALSE),0)+IF($R226="Overdue",-10,IF($R226="Today",5,0))+MIN(15,$Z226*3))))</x:f>
      </x:c>
      <x:c r="P226" s="71" t="str">
        <x:f>IF($A226="","",IF(COUNTIF('Activity Log'!$C$6:$C$1005,$A226)=0,"",MAXIFS('Activity Log'!$B$6:$B$1005,'Activity Log'!$C$6:$C$1005,$A226)))</x:f>
      </x:c>
      <x:c r="Q226" s="71" t="str">
        <x:f>IF($A226="","",IF(COUNTIFS('Activity Log'!$C$6:$C$1005,$A226,'Activity Log'!$J$6:$J$1005,"No",'Activity Log'!$I$6:$I$1005,"&gt;0")=0,"",MINIFS('Activity Log'!$I$6:$I$1005,'Activity Log'!$C$6:$C$1005,$A226,'Activity Log'!$J$6:$J$1005,"No",'Activity Log'!$I$6:$I$1005,"&gt;0")))</x:f>
      </x:c>
      <x:c r="R226" s="57" t="str">
        <x:f>IF($C226="","",IF(OR($K226="Won",$K226="Lost",$K226="Disqualified"),"Closed",IF($Q226="","No date",IF(INT($Q226)&lt;TODAY(),"Overdue",IF(INT($Q226)=TODAY(),"Today",IF(INT($Q226)&lt;=TODAY()+7,"Next 7 days","Later"))))))</x:f>
      </x:c>
      <x:c r="S226" s="57" t="str">
        <x:f>IF(OR($C226="",$P226=""),"",TODAY()-INT($P226))</x:f>
      </x:c>
      <x:c r="T226" s="54"/>
      <x:c r="U226" s="54"/>
      <x:c r="V226" s="63"/>
      <x:c r="W226" s="74"/>
      <x:c r="X226" s="77" t="str">
        <x:f>IF($C226="","",IFERROR(VLOOKUP($M226,'Lists &amp; Rules'!$L$5:$N$13,2,FALSE),0))</x:f>
      </x:c>
      <x:c r="Y226" s="80" t="str">
        <x:f>IF(OR($C226="",$W226=""),"",ROUND($W226*$X226,0))</x:f>
      </x:c>
      <x:c r="Z226" s="57" t="str">
        <x:f>IF($A226="","",COUNTIF('Activity Log'!$C$6:$C$1005,$A226))</x:f>
      </x:c>
      <x:c r="AA226" s="68"/>
      <x:c r="AB226" s="63"/>
    </x:row>
    <x:row r="227">
      <x:c r="A227" s="54"/>
      <x:c r="B227" s="68"/>
      <x:c r="C227" s="54"/>
      <x:c r="D227" s="54"/>
      <x:c r="E227" s="54"/>
      <x:c r="F227" s="54"/>
      <x:c r="G227" s="54"/>
      <x:c r="H227" s="54"/>
      <x:c r="I227" s="54"/>
      <x:c r="J227" s="54"/>
      <x:c r="K227" s="54"/>
      <x:c r="L227" s="54"/>
      <x:c r="M227" s="54"/>
      <x:c r="N227" s="54"/>
      <x:c r="O227" s="57" t="str">
        <x:f>IF($C227="","",MAX(0,MIN(100,IFERROR(VLOOKUP($L227,'Lists &amp; Rules'!$P$5:$Q$8,2,FALSE),0)+IFERROR(VLOOKUP($N227,'Lists &amp; Rules'!$S$5:$T$7,2,FALSE),0)+IFERROR(VLOOKUP($M227,'Lists &amp; Rules'!$L$5:$N$13,3,FALSE),0)+IF($R227="Overdue",-10,IF($R227="Today",5,0))+MIN(15,$Z227*3))))</x:f>
      </x:c>
      <x:c r="P227" s="71" t="str">
        <x:f>IF($A227="","",IF(COUNTIF('Activity Log'!$C$6:$C$1005,$A227)=0,"",MAXIFS('Activity Log'!$B$6:$B$1005,'Activity Log'!$C$6:$C$1005,$A227)))</x:f>
      </x:c>
      <x:c r="Q227" s="71" t="str">
        <x:f>IF($A227="","",IF(COUNTIFS('Activity Log'!$C$6:$C$1005,$A227,'Activity Log'!$J$6:$J$1005,"No",'Activity Log'!$I$6:$I$1005,"&gt;0")=0,"",MINIFS('Activity Log'!$I$6:$I$1005,'Activity Log'!$C$6:$C$1005,$A227,'Activity Log'!$J$6:$J$1005,"No",'Activity Log'!$I$6:$I$1005,"&gt;0")))</x:f>
      </x:c>
      <x:c r="R227" s="57" t="str">
        <x:f>IF($C227="","",IF(OR($K227="Won",$K227="Lost",$K227="Disqualified"),"Closed",IF($Q227="","No date",IF(INT($Q227)&lt;TODAY(),"Overdue",IF(INT($Q227)=TODAY(),"Today",IF(INT($Q227)&lt;=TODAY()+7,"Next 7 days","Later"))))))</x:f>
      </x:c>
      <x:c r="S227" s="57" t="str">
        <x:f>IF(OR($C227="",$P227=""),"",TODAY()-INT($P227))</x:f>
      </x:c>
      <x:c r="T227" s="54"/>
      <x:c r="U227" s="54"/>
      <x:c r="V227" s="63"/>
      <x:c r="W227" s="74"/>
      <x:c r="X227" s="77" t="str">
        <x:f>IF($C227="","",IFERROR(VLOOKUP($M227,'Lists &amp; Rules'!$L$5:$N$13,2,FALSE),0))</x:f>
      </x:c>
      <x:c r="Y227" s="80" t="str">
        <x:f>IF(OR($C227="",$W227=""),"",ROUND($W227*$X227,0))</x:f>
      </x:c>
      <x:c r="Z227" s="57" t="str">
        <x:f>IF($A227="","",COUNTIF('Activity Log'!$C$6:$C$1005,$A227))</x:f>
      </x:c>
      <x:c r="AA227" s="68"/>
      <x:c r="AB227" s="63"/>
    </x:row>
    <x:row r="228">
      <x:c r="A228" s="54"/>
      <x:c r="B228" s="68"/>
      <x:c r="C228" s="54"/>
      <x:c r="D228" s="54"/>
      <x:c r="E228" s="54"/>
      <x:c r="F228" s="54"/>
      <x:c r="G228" s="54"/>
      <x:c r="H228" s="54"/>
      <x:c r="I228" s="54"/>
      <x:c r="J228" s="54"/>
      <x:c r="K228" s="54"/>
      <x:c r="L228" s="54"/>
      <x:c r="M228" s="54"/>
      <x:c r="N228" s="54"/>
      <x:c r="O228" s="57" t="str">
        <x:f>IF($C228="","",MAX(0,MIN(100,IFERROR(VLOOKUP($L228,'Lists &amp; Rules'!$P$5:$Q$8,2,FALSE),0)+IFERROR(VLOOKUP($N228,'Lists &amp; Rules'!$S$5:$T$7,2,FALSE),0)+IFERROR(VLOOKUP($M228,'Lists &amp; Rules'!$L$5:$N$13,3,FALSE),0)+IF($R228="Overdue",-10,IF($R228="Today",5,0))+MIN(15,$Z228*3))))</x:f>
      </x:c>
      <x:c r="P228" s="71" t="str">
        <x:f>IF($A228="","",IF(COUNTIF('Activity Log'!$C$6:$C$1005,$A228)=0,"",MAXIFS('Activity Log'!$B$6:$B$1005,'Activity Log'!$C$6:$C$1005,$A228)))</x:f>
      </x:c>
      <x:c r="Q228" s="71" t="str">
        <x:f>IF($A228="","",IF(COUNTIFS('Activity Log'!$C$6:$C$1005,$A228,'Activity Log'!$J$6:$J$1005,"No",'Activity Log'!$I$6:$I$1005,"&gt;0")=0,"",MINIFS('Activity Log'!$I$6:$I$1005,'Activity Log'!$C$6:$C$1005,$A228,'Activity Log'!$J$6:$J$1005,"No",'Activity Log'!$I$6:$I$1005,"&gt;0")))</x:f>
      </x:c>
      <x:c r="R228" s="57" t="str">
        <x:f>IF($C228="","",IF(OR($K228="Won",$K228="Lost",$K228="Disqualified"),"Closed",IF($Q228="","No date",IF(INT($Q228)&lt;TODAY(),"Overdue",IF(INT($Q228)=TODAY(),"Today",IF(INT($Q228)&lt;=TODAY()+7,"Next 7 days","Later"))))))</x:f>
      </x:c>
      <x:c r="S228" s="57" t="str">
        <x:f>IF(OR($C228="",$P228=""),"",TODAY()-INT($P228))</x:f>
      </x:c>
      <x:c r="T228" s="54"/>
      <x:c r="U228" s="54"/>
      <x:c r="V228" s="63"/>
      <x:c r="W228" s="74"/>
      <x:c r="X228" s="77" t="str">
        <x:f>IF($C228="","",IFERROR(VLOOKUP($M228,'Lists &amp; Rules'!$L$5:$N$13,2,FALSE),0))</x:f>
      </x:c>
      <x:c r="Y228" s="80" t="str">
        <x:f>IF(OR($C228="",$W228=""),"",ROUND($W228*$X228,0))</x:f>
      </x:c>
      <x:c r="Z228" s="57" t="str">
        <x:f>IF($A228="","",COUNTIF('Activity Log'!$C$6:$C$1005,$A228))</x:f>
      </x:c>
      <x:c r="AA228" s="68"/>
      <x:c r="AB228" s="63"/>
    </x:row>
    <x:row r="229">
      <x:c r="A229" s="54"/>
      <x:c r="B229" s="68"/>
      <x:c r="C229" s="54"/>
      <x:c r="D229" s="54"/>
      <x:c r="E229" s="54"/>
      <x:c r="F229" s="54"/>
      <x:c r="G229" s="54"/>
      <x:c r="H229" s="54"/>
      <x:c r="I229" s="54"/>
      <x:c r="J229" s="54"/>
      <x:c r="K229" s="54"/>
      <x:c r="L229" s="54"/>
      <x:c r="M229" s="54"/>
      <x:c r="N229" s="54"/>
      <x:c r="O229" s="57" t="str">
        <x:f>IF($C229="","",MAX(0,MIN(100,IFERROR(VLOOKUP($L229,'Lists &amp; Rules'!$P$5:$Q$8,2,FALSE),0)+IFERROR(VLOOKUP($N229,'Lists &amp; Rules'!$S$5:$T$7,2,FALSE),0)+IFERROR(VLOOKUP($M229,'Lists &amp; Rules'!$L$5:$N$13,3,FALSE),0)+IF($R229="Overdue",-10,IF($R229="Today",5,0))+MIN(15,$Z229*3))))</x:f>
      </x:c>
      <x:c r="P229" s="71" t="str">
        <x:f>IF($A229="","",IF(COUNTIF('Activity Log'!$C$6:$C$1005,$A229)=0,"",MAXIFS('Activity Log'!$B$6:$B$1005,'Activity Log'!$C$6:$C$1005,$A229)))</x:f>
      </x:c>
      <x:c r="Q229" s="71" t="str">
        <x:f>IF($A229="","",IF(COUNTIFS('Activity Log'!$C$6:$C$1005,$A229,'Activity Log'!$J$6:$J$1005,"No",'Activity Log'!$I$6:$I$1005,"&gt;0")=0,"",MINIFS('Activity Log'!$I$6:$I$1005,'Activity Log'!$C$6:$C$1005,$A229,'Activity Log'!$J$6:$J$1005,"No",'Activity Log'!$I$6:$I$1005,"&gt;0")))</x:f>
      </x:c>
      <x:c r="R229" s="57" t="str">
        <x:f>IF($C229="","",IF(OR($K229="Won",$K229="Lost",$K229="Disqualified"),"Closed",IF($Q229="","No date",IF(INT($Q229)&lt;TODAY(),"Overdue",IF(INT($Q229)=TODAY(),"Today",IF(INT($Q229)&lt;=TODAY()+7,"Next 7 days","Later"))))))</x:f>
      </x:c>
      <x:c r="S229" s="57" t="str">
        <x:f>IF(OR($C229="",$P229=""),"",TODAY()-INT($P229))</x:f>
      </x:c>
      <x:c r="T229" s="54"/>
      <x:c r="U229" s="54"/>
      <x:c r="V229" s="63"/>
      <x:c r="W229" s="74"/>
      <x:c r="X229" s="77" t="str">
        <x:f>IF($C229="","",IFERROR(VLOOKUP($M229,'Lists &amp; Rules'!$L$5:$N$13,2,FALSE),0))</x:f>
      </x:c>
      <x:c r="Y229" s="80" t="str">
        <x:f>IF(OR($C229="",$W229=""),"",ROUND($W229*$X229,0))</x:f>
      </x:c>
      <x:c r="Z229" s="57" t="str">
        <x:f>IF($A229="","",COUNTIF('Activity Log'!$C$6:$C$1005,$A229))</x:f>
      </x:c>
      <x:c r="AA229" s="68"/>
      <x:c r="AB229" s="63"/>
    </x:row>
    <x:row r="230">
      <x:c r="A230" s="54"/>
      <x:c r="B230" s="68"/>
      <x:c r="C230" s="54"/>
      <x:c r="D230" s="54"/>
      <x:c r="E230" s="54"/>
      <x:c r="F230" s="54"/>
      <x:c r="G230" s="54"/>
      <x:c r="H230" s="54"/>
      <x:c r="I230" s="54"/>
      <x:c r="J230" s="54"/>
      <x:c r="K230" s="54"/>
      <x:c r="L230" s="54"/>
      <x:c r="M230" s="54"/>
      <x:c r="N230" s="54"/>
      <x:c r="O230" s="57" t="str">
        <x:f>IF($C230="","",MAX(0,MIN(100,IFERROR(VLOOKUP($L230,'Lists &amp; Rules'!$P$5:$Q$8,2,FALSE),0)+IFERROR(VLOOKUP($N230,'Lists &amp; Rules'!$S$5:$T$7,2,FALSE),0)+IFERROR(VLOOKUP($M230,'Lists &amp; Rules'!$L$5:$N$13,3,FALSE),0)+IF($R230="Overdue",-10,IF($R230="Today",5,0))+MIN(15,$Z230*3))))</x:f>
      </x:c>
      <x:c r="P230" s="71" t="str">
        <x:f>IF($A230="","",IF(COUNTIF('Activity Log'!$C$6:$C$1005,$A230)=0,"",MAXIFS('Activity Log'!$B$6:$B$1005,'Activity Log'!$C$6:$C$1005,$A230)))</x:f>
      </x:c>
      <x:c r="Q230" s="71" t="str">
        <x:f>IF($A230="","",IF(COUNTIFS('Activity Log'!$C$6:$C$1005,$A230,'Activity Log'!$J$6:$J$1005,"No",'Activity Log'!$I$6:$I$1005,"&gt;0")=0,"",MINIFS('Activity Log'!$I$6:$I$1005,'Activity Log'!$C$6:$C$1005,$A230,'Activity Log'!$J$6:$J$1005,"No",'Activity Log'!$I$6:$I$1005,"&gt;0")))</x:f>
      </x:c>
      <x:c r="R230" s="57" t="str">
        <x:f>IF($C230="","",IF(OR($K230="Won",$K230="Lost",$K230="Disqualified"),"Closed",IF($Q230="","No date",IF(INT($Q230)&lt;TODAY(),"Overdue",IF(INT($Q230)=TODAY(),"Today",IF(INT($Q230)&lt;=TODAY()+7,"Next 7 days","Later"))))))</x:f>
      </x:c>
      <x:c r="S230" s="57" t="str">
        <x:f>IF(OR($C230="",$P230=""),"",TODAY()-INT($P230))</x:f>
      </x:c>
      <x:c r="T230" s="54"/>
      <x:c r="U230" s="54"/>
      <x:c r="V230" s="63"/>
      <x:c r="W230" s="74"/>
      <x:c r="X230" s="77" t="str">
        <x:f>IF($C230="","",IFERROR(VLOOKUP($M230,'Lists &amp; Rules'!$L$5:$N$13,2,FALSE),0))</x:f>
      </x:c>
      <x:c r="Y230" s="80" t="str">
        <x:f>IF(OR($C230="",$W230=""),"",ROUND($W230*$X230,0))</x:f>
      </x:c>
      <x:c r="Z230" s="57" t="str">
        <x:f>IF($A230="","",COUNTIF('Activity Log'!$C$6:$C$1005,$A230))</x:f>
      </x:c>
      <x:c r="AA230" s="68"/>
      <x:c r="AB230" s="63"/>
    </x:row>
    <x:row r="231">
      <x:c r="A231" s="54"/>
      <x:c r="B231" s="68"/>
      <x:c r="C231" s="54"/>
      <x:c r="D231" s="54"/>
      <x:c r="E231" s="54"/>
      <x:c r="F231" s="54"/>
      <x:c r="G231" s="54"/>
      <x:c r="H231" s="54"/>
      <x:c r="I231" s="54"/>
      <x:c r="J231" s="54"/>
      <x:c r="K231" s="54"/>
      <x:c r="L231" s="54"/>
      <x:c r="M231" s="54"/>
      <x:c r="N231" s="54"/>
      <x:c r="O231" s="57" t="str">
        <x:f>IF($C231="","",MAX(0,MIN(100,IFERROR(VLOOKUP($L231,'Lists &amp; Rules'!$P$5:$Q$8,2,FALSE),0)+IFERROR(VLOOKUP($N231,'Lists &amp; Rules'!$S$5:$T$7,2,FALSE),0)+IFERROR(VLOOKUP($M231,'Lists &amp; Rules'!$L$5:$N$13,3,FALSE),0)+IF($R231="Overdue",-10,IF($R231="Today",5,0))+MIN(15,$Z231*3))))</x:f>
      </x:c>
      <x:c r="P231" s="71" t="str">
        <x:f>IF($A231="","",IF(COUNTIF('Activity Log'!$C$6:$C$1005,$A231)=0,"",MAXIFS('Activity Log'!$B$6:$B$1005,'Activity Log'!$C$6:$C$1005,$A231)))</x:f>
      </x:c>
      <x:c r="Q231" s="71" t="str">
        <x:f>IF($A231="","",IF(COUNTIFS('Activity Log'!$C$6:$C$1005,$A231,'Activity Log'!$J$6:$J$1005,"No",'Activity Log'!$I$6:$I$1005,"&gt;0")=0,"",MINIFS('Activity Log'!$I$6:$I$1005,'Activity Log'!$C$6:$C$1005,$A231,'Activity Log'!$J$6:$J$1005,"No",'Activity Log'!$I$6:$I$1005,"&gt;0")))</x:f>
      </x:c>
      <x:c r="R231" s="57" t="str">
        <x:f>IF($C231="","",IF(OR($K231="Won",$K231="Lost",$K231="Disqualified"),"Closed",IF($Q231="","No date",IF(INT($Q231)&lt;TODAY(),"Overdue",IF(INT($Q231)=TODAY(),"Today",IF(INT($Q231)&lt;=TODAY()+7,"Next 7 days","Later"))))))</x:f>
      </x:c>
      <x:c r="S231" s="57" t="str">
        <x:f>IF(OR($C231="",$P231=""),"",TODAY()-INT($P231))</x:f>
      </x:c>
      <x:c r="T231" s="54"/>
      <x:c r="U231" s="54"/>
      <x:c r="V231" s="63"/>
      <x:c r="W231" s="74"/>
      <x:c r="X231" s="77" t="str">
        <x:f>IF($C231="","",IFERROR(VLOOKUP($M231,'Lists &amp; Rules'!$L$5:$N$13,2,FALSE),0))</x:f>
      </x:c>
      <x:c r="Y231" s="80" t="str">
        <x:f>IF(OR($C231="",$W231=""),"",ROUND($W231*$X231,0))</x:f>
      </x:c>
      <x:c r="Z231" s="57" t="str">
        <x:f>IF($A231="","",COUNTIF('Activity Log'!$C$6:$C$1005,$A231))</x:f>
      </x:c>
      <x:c r="AA231" s="68"/>
      <x:c r="AB231" s="63"/>
    </x:row>
    <x:row r="232">
      <x:c r="A232" s="54"/>
      <x:c r="B232" s="68"/>
      <x:c r="C232" s="54"/>
      <x:c r="D232" s="54"/>
      <x:c r="E232" s="54"/>
      <x:c r="F232" s="54"/>
      <x:c r="G232" s="54"/>
      <x:c r="H232" s="54"/>
      <x:c r="I232" s="54"/>
      <x:c r="J232" s="54"/>
      <x:c r="K232" s="54"/>
      <x:c r="L232" s="54"/>
      <x:c r="M232" s="54"/>
      <x:c r="N232" s="54"/>
      <x:c r="O232" s="57" t="str">
        <x:f>IF($C232="","",MAX(0,MIN(100,IFERROR(VLOOKUP($L232,'Lists &amp; Rules'!$P$5:$Q$8,2,FALSE),0)+IFERROR(VLOOKUP($N232,'Lists &amp; Rules'!$S$5:$T$7,2,FALSE),0)+IFERROR(VLOOKUP($M232,'Lists &amp; Rules'!$L$5:$N$13,3,FALSE),0)+IF($R232="Overdue",-10,IF($R232="Today",5,0))+MIN(15,$Z232*3))))</x:f>
      </x:c>
      <x:c r="P232" s="71" t="str">
        <x:f>IF($A232="","",IF(COUNTIF('Activity Log'!$C$6:$C$1005,$A232)=0,"",MAXIFS('Activity Log'!$B$6:$B$1005,'Activity Log'!$C$6:$C$1005,$A232)))</x:f>
      </x:c>
      <x:c r="Q232" s="71" t="str">
        <x:f>IF($A232="","",IF(COUNTIFS('Activity Log'!$C$6:$C$1005,$A232,'Activity Log'!$J$6:$J$1005,"No",'Activity Log'!$I$6:$I$1005,"&gt;0")=0,"",MINIFS('Activity Log'!$I$6:$I$1005,'Activity Log'!$C$6:$C$1005,$A232,'Activity Log'!$J$6:$J$1005,"No",'Activity Log'!$I$6:$I$1005,"&gt;0")))</x:f>
      </x:c>
      <x:c r="R232" s="57" t="str">
        <x:f>IF($C232="","",IF(OR($K232="Won",$K232="Lost",$K232="Disqualified"),"Closed",IF($Q232="","No date",IF(INT($Q232)&lt;TODAY(),"Overdue",IF(INT($Q232)=TODAY(),"Today",IF(INT($Q232)&lt;=TODAY()+7,"Next 7 days","Later"))))))</x:f>
      </x:c>
      <x:c r="S232" s="57" t="str">
        <x:f>IF(OR($C232="",$P232=""),"",TODAY()-INT($P232))</x:f>
      </x:c>
      <x:c r="T232" s="54"/>
      <x:c r="U232" s="54"/>
      <x:c r="V232" s="63"/>
      <x:c r="W232" s="74"/>
      <x:c r="X232" s="77" t="str">
        <x:f>IF($C232="","",IFERROR(VLOOKUP($M232,'Lists &amp; Rules'!$L$5:$N$13,2,FALSE),0))</x:f>
      </x:c>
      <x:c r="Y232" s="80" t="str">
        <x:f>IF(OR($C232="",$W232=""),"",ROUND($W232*$X232,0))</x:f>
      </x:c>
      <x:c r="Z232" s="57" t="str">
        <x:f>IF($A232="","",COUNTIF('Activity Log'!$C$6:$C$1005,$A232))</x:f>
      </x:c>
      <x:c r="AA232" s="68"/>
      <x:c r="AB232" s="63"/>
    </x:row>
    <x:row r="233">
      <x:c r="A233" s="54"/>
      <x:c r="B233" s="68"/>
      <x:c r="C233" s="54"/>
      <x:c r="D233" s="54"/>
      <x:c r="E233" s="54"/>
      <x:c r="F233" s="54"/>
      <x:c r="G233" s="54"/>
      <x:c r="H233" s="54"/>
      <x:c r="I233" s="54"/>
      <x:c r="J233" s="54"/>
      <x:c r="K233" s="54"/>
      <x:c r="L233" s="54"/>
      <x:c r="M233" s="54"/>
      <x:c r="N233" s="54"/>
      <x:c r="O233" s="57" t="str">
        <x:f>IF($C233="","",MAX(0,MIN(100,IFERROR(VLOOKUP($L233,'Lists &amp; Rules'!$P$5:$Q$8,2,FALSE),0)+IFERROR(VLOOKUP($N233,'Lists &amp; Rules'!$S$5:$T$7,2,FALSE),0)+IFERROR(VLOOKUP($M233,'Lists &amp; Rules'!$L$5:$N$13,3,FALSE),0)+IF($R233="Overdue",-10,IF($R233="Today",5,0))+MIN(15,$Z233*3))))</x:f>
      </x:c>
      <x:c r="P233" s="71" t="str">
        <x:f>IF($A233="","",IF(COUNTIF('Activity Log'!$C$6:$C$1005,$A233)=0,"",MAXIFS('Activity Log'!$B$6:$B$1005,'Activity Log'!$C$6:$C$1005,$A233)))</x:f>
      </x:c>
      <x:c r="Q233" s="71" t="str">
        <x:f>IF($A233="","",IF(COUNTIFS('Activity Log'!$C$6:$C$1005,$A233,'Activity Log'!$J$6:$J$1005,"No",'Activity Log'!$I$6:$I$1005,"&gt;0")=0,"",MINIFS('Activity Log'!$I$6:$I$1005,'Activity Log'!$C$6:$C$1005,$A233,'Activity Log'!$J$6:$J$1005,"No",'Activity Log'!$I$6:$I$1005,"&gt;0")))</x:f>
      </x:c>
      <x:c r="R233" s="57" t="str">
        <x:f>IF($C233="","",IF(OR($K233="Won",$K233="Lost",$K233="Disqualified"),"Closed",IF($Q233="","No date",IF(INT($Q233)&lt;TODAY(),"Overdue",IF(INT($Q233)=TODAY(),"Today",IF(INT($Q233)&lt;=TODAY()+7,"Next 7 days","Later"))))))</x:f>
      </x:c>
      <x:c r="S233" s="57" t="str">
        <x:f>IF(OR($C233="",$P233=""),"",TODAY()-INT($P233))</x:f>
      </x:c>
      <x:c r="T233" s="54"/>
      <x:c r="U233" s="54"/>
      <x:c r="V233" s="63"/>
      <x:c r="W233" s="74"/>
      <x:c r="X233" s="77" t="str">
        <x:f>IF($C233="","",IFERROR(VLOOKUP($M233,'Lists &amp; Rules'!$L$5:$N$13,2,FALSE),0))</x:f>
      </x:c>
      <x:c r="Y233" s="80" t="str">
        <x:f>IF(OR($C233="",$W233=""),"",ROUND($W233*$X233,0))</x:f>
      </x:c>
      <x:c r="Z233" s="57" t="str">
        <x:f>IF($A233="","",COUNTIF('Activity Log'!$C$6:$C$1005,$A233))</x:f>
      </x:c>
      <x:c r="AA233" s="68"/>
      <x:c r="AB233" s="63"/>
    </x:row>
    <x:row r="234">
      <x:c r="A234" s="54"/>
      <x:c r="B234" s="68"/>
      <x:c r="C234" s="54"/>
      <x:c r="D234" s="54"/>
      <x:c r="E234" s="54"/>
      <x:c r="F234" s="54"/>
      <x:c r="G234" s="54"/>
      <x:c r="H234" s="54"/>
      <x:c r="I234" s="54"/>
      <x:c r="J234" s="54"/>
      <x:c r="K234" s="54"/>
      <x:c r="L234" s="54"/>
      <x:c r="M234" s="54"/>
      <x:c r="N234" s="54"/>
      <x:c r="O234" s="57" t="str">
        <x:f>IF($C234="","",MAX(0,MIN(100,IFERROR(VLOOKUP($L234,'Lists &amp; Rules'!$P$5:$Q$8,2,FALSE),0)+IFERROR(VLOOKUP($N234,'Lists &amp; Rules'!$S$5:$T$7,2,FALSE),0)+IFERROR(VLOOKUP($M234,'Lists &amp; Rules'!$L$5:$N$13,3,FALSE),0)+IF($R234="Overdue",-10,IF($R234="Today",5,0))+MIN(15,$Z234*3))))</x:f>
      </x:c>
      <x:c r="P234" s="71" t="str">
        <x:f>IF($A234="","",IF(COUNTIF('Activity Log'!$C$6:$C$1005,$A234)=0,"",MAXIFS('Activity Log'!$B$6:$B$1005,'Activity Log'!$C$6:$C$1005,$A234)))</x:f>
      </x:c>
      <x:c r="Q234" s="71" t="str">
        <x:f>IF($A234="","",IF(COUNTIFS('Activity Log'!$C$6:$C$1005,$A234,'Activity Log'!$J$6:$J$1005,"No",'Activity Log'!$I$6:$I$1005,"&gt;0")=0,"",MINIFS('Activity Log'!$I$6:$I$1005,'Activity Log'!$C$6:$C$1005,$A234,'Activity Log'!$J$6:$J$1005,"No",'Activity Log'!$I$6:$I$1005,"&gt;0")))</x:f>
      </x:c>
      <x:c r="R234" s="57" t="str">
        <x:f>IF($C234="","",IF(OR($K234="Won",$K234="Lost",$K234="Disqualified"),"Closed",IF($Q234="","No date",IF(INT($Q234)&lt;TODAY(),"Overdue",IF(INT($Q234)=TODAY(),"Today",IF(INT($Q234)&lt;=TODAY()+7,"Next 7 days","Later"))))))</x:f>
      </x:c>
      <x:c r="S234" s="57" t="str">
        <x:f>IF(OR($C234="",$P234=""),"",TODAY()-INT($P234))</x:f>
      </x:c>
      <x:c r="T234" s="54"/>
      <x:c r="U234" s="54"/>
      <x:c r="V234" s="63"/>
      <x:c r="W234" s="74"/>
      <x:c r="X234" s="77" t="str">
        <x:f>IF($C234="","",IFERROR(VLOOKUP($M234,'Lists &amp; Rules'!$L$5:$N$13,2,FALSE),0))</x:f>
      </x:c>
      <x:c r="Y234" s="80" t="str">
        <x:f>IF(OR($C234="",$W234=""),"",ROUND($W234*$X234,0))</x:f>
      </x:c>
      <x:c r="Z234" s="57" t="str">
        <x:f>IF($A234="","",COUNTIF('Activity Log'!$C$6:$C$1005,$A234))</x:f>
      </x:c>
      <x:c r="AA234" s="68"/>
      <x:c r="AB234" s="63"/>
    </x:row>
    <x:row r="235">
      <x:c r="A235" s="54"/>
      <x:c r="B235" s="68"/>
      <x:c r="C235" s="54"/>
      <x:c r="D235" s="54"/>
      <x:c r="E235" s="54"/>
      <x:c r="F235" s="54"/>
      <x:c r="G235" s="54"/>
      <x:c r="H235" s="54"/>
      <x:c r="I235" s="54"/>
      <x:c r="J235" s="54"/>
      <x:c r="K235" s="54"/>
      <x:c r="L235" s="54"/>
      <x:c r="M235" s="54"/>
      <x:c r="N235" s="54"/>
      <x:c r="O235" s="57" t="str">
        <x:f>IF($C235="","",MAX(0,MIN(100,IFERROR(VLOOKUP($L235,'Lists &amp; Rules'!$P$5:$Q$8,2,FALSE),0)+IFERROR(VLOOKUP($N235,'Lists &amp; Rules'!$S$5:$T$7,2,FALSE),0)+IFERROR(VLOOKUP($M235,'Lists &amp; Rules'!$L$5:$N$13,3,FALSE),0)+IF($R235="Overdue",-10,IF($R235="Today",5,0))+MIN(15,$Z235*3))))</x:f>
      </x:c>
      <x:c r="P235" s="71" t="str">
        <x:f>IF($A235="","",IF(COUNTIF('Activity Log'!$C$6:$C$1005,$A235)=0,"",MAXIFS('Activity Log'!$B$6:$B$1005,'Activity Log'!$C$6:$C$1005,$A235)))</x:f>
      </x:c>
      <x:c r="Q235" s="71" t="str">
        <x:f>IF($A235="","",IF(COUNTIFS('Activity Log'!$C$6:$C$1005,$A235,'Activity Log'!$J$6:$J$1005,"No",'Activity Log'!$I$6:$I$1005,"&gt;0")=0,"",MINIFS('Activity Log'!$I$6:$I$1005,'Activity Log'!$C$6:$C$1005,$A235,'Activity Log'!$J$6:$J$1005,"No",'Activity Log'!$I$6:$I$1005,"&gt;0")))</x:f>
      </x:c>
      <x:c r="R235" s="57" t="str">
        <x:f>IF($C235="","",IF(OR($K235="Won",$K235="Lost",$K235="Disqualified"),"Closed",IF($Q235="","No date",IF(INT($Q235)&lt;TODAY(),"Overdue",IF(INT($Q235)=TODAY(),"Today",IF(INT($Q235)&lt;=TODAY()+7,"Next 7 days","Later"))))))</x:f>
      </x:c>
      <x:c r="S235" s="57" t="str">
        <x:f>IF(OR($C235="",$P235=""),"",TODAY()-INT($P235))</x:f>
      </x:c>
      <x:c r="T235" s="54"/>
      <x:c r="U235" s="54"/>
      <x:c r="V235" s="63"/>
      <x:c r="W235" s="74"/>
      <x:c r="X235" s="77" t="str">
        <x:f>IF($C235="","",IFERROR(VLOOKUP($M235,'Lists &amp; Rules'!$L$5:$N$13,2,FALSE),0))</x:f>
      </x:c>
      <x:c r="Y235" s="80" t="str">
        <x:f>IF(OR($C235="",$W235=""),"",ROUND($W235*$X235,0))</x:f>
      </x:c>
      <x:c r="Z235" s="57" t="str">
        <x:f>IF($A235="","",COUNTIF('Activity Log'!$C$6:$C$1005,$A235))</x:f>
      </x:c>
      <x:c r="AA235" s="68"/>
      <x:c r="AB235" s="63"/>
    </x:row>
    <x:row r="236">
      <x:c r="A236" s="54"/>
      <x:c r="B236" s="68"/>
      <x:c r="C236" s="54"/>
      <x:c r="D236" s="54"/>
      <x:c r="E236" s="54"/>
      <x:c r="F236" s="54"/>
      <x:c r="G236" s="54"/>
      <x:c r="H236" s="54"/>
      <x:c r="I236" s="54"/>
      <x:c r="J236" s="54"/>
      <x:c r="K236" s="54"/>
      <x:c r="L236" s="54"/>
      <x:c r="M236" s="54"/>
      <x:c r="N236" s="54"/>
      <x:c r="O236" s="57" t="str">
        <x:f>IF($C236="","",MAX(0,MIN(100,IFERROR(VLOOKUP($L236,'Lists &amp; Rules'!$P$5:$Q$8,2,FALSE),0)+IFERROR(VLOOKUP($N236,'Lists &amp; Rules'!$S$5:$T$7,2,FALSE),0)+IFERROR(VLOOKUP($M236,'Lists &amp; Rules'!$L$5:$N$13,3,FALSE),0)+IF($R236="Overdue",-10,IF($R236="Today",5,0))+MIN(15,$Z236*3))))</x:f>
      </x:c>
      <x:c r="P236" s="71" t="str">
        <x:f>IF($A236="","",IF(COUNTIF('Activity Log'!$C$6:$C$1005,$A236)=0,"",MAXIFS('Activity Log'!$B$6:$B$1005,'Activity Log'!$C$6:$C$1005,$A236)))</x:f>
      </x:c>
      <x:c r="Q236" s="71" t="str">
        <x:f>IF($A236="","",IF(COUNTIFS('Activity Log'!$C$6:$C$1005,$A236,'Activity Log'!$J$6:$J$1005,"No",'Activity Log'!$I$6:$I$1005,"&gt;0")=0,"",MINIFS('Activity Log'!$I$6:$I$1005,'Activity Log'!$C$6:$C$1005,$A236,'Activity Log'!$J$6:$J$1005,"No",'Activity Log'!$I$6:$I$1005,"&gt;0")))</x:f>
      </x:c>
      <x:c r="R236" s="57" t="str">
        <x:f>IF($C236="","",IF(OR($K236="Won",$K236="Lost",$K236="Disqualified"),"Closed",IF($Q236="","No date",IF(INT($Q236)&lt;TODAY(),"Overdue",IF(INT($Q236)=TODAY(),"Today",IF(INT($Q236)&lt;=TODAY()+7,"Next 7 days","Later"))))))</x:f>
      </x:c>
      <x:c r="S236" s="57" t="str">
        <x:f>IF(OR($C236="",$P236=""),"",TODAY()-INT($P236))</x:f>
      </x:c>
      <x:c r="T236" s="54"/>
      <x:c r="U236" s="54"/>
      <x:c r="V236" s="63"/>
      <x:c r="W236" s="74"/>
      <x:c r="X236" s="77" t="str">
        <x:f>IF($C236="","",IFERROR(VLOOKUP($M236,'Lists &amp; Rules'!$L$5:$N$13,2,FALSE),0))</x:f>
      </x:c>
      <x:c r="Y236" s="80" t="str">
        <x:f>IF(OR($C236="",$W236=""),"",ROUND($W236*$X236,0))</x:f>
      </x:c>
      <x:c r="Z236" s="57" t="str">
        <x:f>IF($A236="","",COUNTIF('Activity Log'!$C$6:$C$1005,$A236))</x:f>
      </x:c>
      <x:c r="AA236" s="68"/>
      <x:c r="AB236" s="63"/>
    </x:row>
    <x:row r="237">
      <x:c r="A237" s="54"/>
      <x:c r="B237" s="68"/>
      <x:c r="C237" s="54"/>
      <x:c r="D237" s="54"/>
      <x:c r="E237" s="54"/>
      <x:c r="F237" s="54"/>
      <x:c r="G237" s="54"/>
      <x:c r="H237" s="54"/>
      <x:c r="I237" s="54"/>
      <x:c r="J237" s="54"/>
      <x:c r="K237" s="54"/>
      <x:c r="L237" s="54"/>
      <x:c r="M237" s="54"/>
      <x:c r="N237" s="54"/>
      <x:c r="O237" s="57" t="str">
        <x:f>IF($C237="","",MAX(0,MIN(100,IFERROR(VLOOKUP($L237,'Lists &amp; Rules'!$P$5:$Q$8,2,FALSE),0)+IFERROR(VLOOKUP($N237,'Lists &amp; Rules'!$S$5:$T$7,2,FALSE),0)+IFERROR(VLOOKUP($M237,'Lists &amp; Rules'!$L$5:$N$13,3,FALSE),0)+IF($R237="Overdue",-10,IF($R237="Today",5,0))+MIN(15,$Z237*3))))</x:f>
      </x:c>
      <x:c r="P237" s="71" t="str">
        <x:f>IF($A237="","",IF(COUNTIF('Activity Log'!$C$6:$C$1005,$A237)=0,"",MAXIFS('Activity Log'!$B$6:$B$1005,'Activity Log'!$C$6:$C$1005,$A237)))</x:f>
      </x:c>
      <x:c r="Q237" s="71" t="str">
        <x:f>IF($A237="","",IF(COUNTIFS('Activity Log'!$C$6:$C$1005,$A237,'Activity Log'!$J$6:$J$1005,"No",'Activity Log'!$I$6:$I$1005,"&gt;0")=0,"",MINIFS('Activity Log'!$I$6:$I$1005,'Activity Log'!$C$6:$C$1005,$A237,'Activity Log'!$J$6:$J$1005,"No",'Activity Log'!$I$6:$I$1005,"&gt;0")))</x:f>
      </x:c>
      <x:c r="R237" s="57" t="str">
        <x:f>IF($C237="","",IF(OR($K237="Won",$K237="Lost",$K237="Disqualified"),"Closed",IF($Q237="","No date",IF(INT($Q237)&lt;TODAY(),"Overdue",IF(INT($Q237)=TODAY(),"Today",IF(INT($Q237)&lt;=TODAY()+7,"Next 7 days","Later"))))))</x:f>
      </x:c>
      <x:c r="S237" s="57" t="str">
        <x:f>IF(OR($C237="",$P237=""),"",TODAY()-INT($P237))</x:f>
      </x:c>
      <x:c r="T237" s="54"/>
      <x:c r="U237" s="54"/>
      <x:c r="V237" s="63"/>
      <x:c r="W237" s="74"/>
      <x:c r="X237" s="77" t="str">
        <x:f>IF($C237="","",IFERROR(VLOOKUP($M237,'Lists &amp; Rules'!$L$5:$N$13,2,FALSE),0))</x:f>
      </x:c>
      <x:c r="Y237" s="80" t="str">
        <x:f>IF(OR($C237="",$W237=""),"",ROUND($W237*$X237,0))</x:f>
      </x:c>
      <x:c r="Z237" s="57" t="str">
        <x:f>IF($A237="","",COUNTIF('Activity Log'!$C$6:$C$1005,$A237))</x:f>
      </x:c>
      <x:c r="AA237" s="68"/>
      <x:c r="AB237" s="63"/>
    </x:row>
    <x:row r="238">
      <x:c r="A238" s="54"/>
      <x:c r="B238" s="68"/>
      <x:c r="C238" s="54"/>
      <x:c r="D238" s="54"/>
      <x:c r="E238" s="54"/>
      <x:c r="F238" s="54"/>
      <x:c r="G238" s="54"/>
      <x:c r="H238" s="54"/>
      <x:c r="I238" s="54"/>
      <x:c r="J238" s="54"/>
      <x:c r="K238" s="54"/>
      <x:c r="L238" s="54"/>
      <x:c r="M238" s="54"/>
      <x:c r="N238" s="54"/>
      <x:c r="O238" s="57" t="str">
        <x:f>IF($C238="","",MAX(0,MIN(100,IFERROR(VLOOKUP($L238,'Lists &amp; Rules'!$P$5:$Q$8,2,FALSE),0)+IFERROR(VLOOKUP($N238,'Lists &amp; Rules'!$S$5:$T$7,2,FALSE),0)+IFERROR(VLOOKUP($M238,'Lists &amp; Rules'!$L$5:$N$13,3,FALSE),0)+IF($R238="Overdue",-10,IF($R238="Today",5,0))+MIN(15,$Z238*3))))</x:f>
      </x:c>
      <x:c r="P238" s="71" t="str">
        <x:f>IF($A238="","",IF(COUNTIF('Activity Log'!$C$6:$C$1005,$A238)=0,"",MAXIFS('Activity Log'!$B$6:$B$1005,'Activity Log'!$C$6:$C$1005,$A238)))</x:f>
      </x:c>
      <x:c r="Q238" s="71" t="str">
        <x:f>IF($A238="","",IF(COUNTIFS('Activity Log'!$C$6:$C$1005,$A238,'Activity Log'!$J$6:$J$1005,"No",'Activity Log'!$I$6:$I$1005,"&gt;0")=0,"",MINIFS('Activity Log'!$I$6:$I$1005,'Activity Log'!$C$6:$C$1005,$A238,'Activity Log'!$J$6:$J$1005,"No",'Activity Log'!$I$6:$I$1005,"&gt;0")))</x:f>
      </x:c>
      <x:c r="R238" s="57" t="str">
        <x:f>IF($C238="","",IF(OR($K238="Won",$K238="Lost",$K238="Disqualified"),"Closed",IF($Q238="","No date",IF(INT($Q238)&lt;TODAY(),"Overdue",IF(INT($Q238)=TODAY(),"Today",IF(INT($Q238)&lt;=TODAY()+7,"Next 7 days","Later"))))))</x:f>
      </x:c>
      <x:c r="S238" s="57" t="str">
        <x:f>IF(OR($C238="",$P238=""),"",TODAY()-INT($P238))</x:f>
      </x:c>
      <x:c r="T238" s="54"/>
      <x:c r="U238" s="54"/>
      <x:c r="V238" s="63"/>
      <x:c r="W238" s="74"/>
      <x:c r="X238" s="77" t="str">
        <x:f>IF($C238="","",IFERROR(VLOOKUP($M238,'Lists &amp; Rules'!$L$5:$N$13,2,FALSE),0))</x:f>
      </x:c>
      <x:c r="Y238" s="80" t="str">
        <x:f>IF(OR($C238="",$W238=""),"",ROUND($W238*$X238,0))</x:f>
      </x:c>
      <x:c r="Z238" s="57" t="str">
        <x:f>IF($A238="","",COUNTIF('Activity Log'!$C$6:$C$1005,$A238))</x:f>
      </x:c>
      <x:c r="AA238" s="68"/>
      <x:c r="AB238" s="63"/>
    </x:row>
    <x:row r="239">
      <x:c r="A239" s="54"/>
      <x:c r="B239" s="68"/>
      <x:c r="C239" s="54"/>
      <x:c r="D239" s="54"/>
      <x:c r="E239" s="54"/>
      <x:c r="F239" s="54"/>
      <x:c r="G239" s="54"/>
      <x:c r="H239" s="54"/>
      <x:c r="I239" s="54"/>
      <x:c r="J239" s="54"/>
      <x:c r="K239" s="54"/>
      <x:c r="L239" s="54"/>
      <x:c r="M239" s="54"/>
      <x:c r="N239" s="54"/>
      <x:c r="O239" s="57" t="str">
        <x:f>IF($C239="","",MAX(0,MIN(100,IFERROR(VLOOKUP($L239,'Lists &amp; Rules'!$P$5:$Q$8,2,FALSE),0)+IFERROR(VLOOKUP($N239,'Lists &amp; Rules'!$S$5:$T$7,2,FALSE),0)+IFERROR(VLOOKUP($M239,'Lists &amp; Rules'!$L$5:$N$13,3,FALSE),0)+IF($R239="Overdue",-10,IF($R239="Today",5,0))+MIN(15,$Z239*3))))</x:f>
      </x:c>
      <x:c r="P239" s="71" t="str">
        <x:f>IF($A239="","",IF(COUNTIF('Activity Log'!$C$6:$C$1005,$A239)=0,"",MAXIFS('Activity Log'!$B$6:$B$1005,'Activity Log'!$C$6:$C$1005,$A239)))</x:f>
      </x:c>
      <x:c r="Q239" s="71" t="str">
        <x:f>IF($A239="","",IF(COUNTIFS('Activity Log'!$C$6:$C$1005,$A239,'Activity Log'!$J$6:$J$1005,"No",'Activity Log'!$I$6:$I$1005,"&gt;0")=0,"",MINIFS('Activity Log'!$I$6:$I$1005,'Activity Log'!$C$6:$C$1005,$A239,'Activity Log'!$J$6:$J$1005,"No",'Activity Log'!$I$6:$I$1005,"&gt;0")))</x:f>
      </x:c>
      <x:c r="R239" s="57" t="str">
        <x:f>IF($C239="","",IF(OR($K239="Won",$K239="Lost",$K239="Disqualified"),"Closed",IF($Q239="","No date",IF(INT($Q239)&lt;TODAY(),"Overdue",IF(INT($Q239)=TODAY(),"Today",IF(INT($Q239)&lt;=TODAY()+7,"Next 7 days","Later"))))))</x:f>
      </x:c>
      <x:c r="S239" s="57" t="str">
        <x:f>IF(OR($C239="",$P239=""),"",TODAY()-INT($P239))</x:f>
      </x:c>
      <x:c r="T239" s="54"/>
      <x:c r="U239" s="54"/>
      <x:c r="V239" s="63"/>
      <x:c r="W239" s="74"/>
      <x:c r="X239" s="77" t="str">
        <x:f>IF($C239="","",IFERROR(VLOOKUP($M239,'Lists &amp; Rules'!$L$5:$N$13,2,FALSE),0))</x:f>
      </x:c>
      <x:c r="Y239" s="80" t="str">
        <x:f>IF(OR($C239="",$W239=""),"",ROUND($W239*$X239,0))</x:f>
      </x:c>
      <x:c r="Z239" s="57" t="str">
        <x:f>IF($A239="","",COUNTIF('Activity Log'!$C$6:$C$1005,$A239))</x:f>
      </x:c>
      <x:c r="AA239" s="68"/>
      <x:c r="AB239" s="63"/>
    </x:row>
    <x:row r="240">
      <x:c r="A240" s="54"/>
      <x:c r="B240" s="68"/>
      <x:c r="C240" s="54"/>
      <x:c r="D240" s="54"/>
      <x:c r="E240" s="54"/>
      <x:c r="F240" s="54"/>
      <x:c r="G240" s="54"/>
      <x:c r="H240" s="54"/>
      <x:c r="I240" s="54"/>
      <x:c r="J240" s="54"/>
      <x:c r="K240" s="54"/>
      <x:c r="L240" s="54"/>
      <x:c r="M240" s="54"/>
      <x:c r="N240" s="54"/>
      <x:c r="O240" s="57" t="str">
        <x:f>IF($C240="","",MAX(0,MIN(100,IFERROR(VLOOKUP($L240,'Lists &amp; Rules'!$P$5:$Q$8,2,FALSE),0)+IFERROR(VLOOKUP($N240,'Lists &amp; Rules'!$S$5:$T$7,2,FALSE),0)+IFERROR(VLOOKUP($M240,'Lists &amp; Rules'!$L$5:$N$13,3,FALSE),0)+IF($R240="Overdue",-10,IF($R240="Today",5,0))+MIN(15,$Z240*3))))</x:f>
      </x:c>
      <x:c r="P240" s="71" t="str">
        <x:f>IF($A240="","",IF(COUNTIF('Activity Log'!$C$6:$C$1005,$A240)=0,"",MAXIFS('Activity Log'!$B$6:$B$1005,'Activity Log'!$C$6:$C$1005,$A240)))</x:f>
      </x:c>
      <x:c r="Q240" s="71" t="str">
        <x:f>IF($A240="","",IF(COUNTIFS('Activity Log'!$C$6:$C$1005,$A240,'Activity Log'!$J$6:$J$1005,"No",'Activity Log'!$I$6:$I$1005,"&gt;0")=0,"",MINIFS('Activity Log'!$I$6:$I$1005,'Activity Log'!$C$6:$C$1005,$A240,'Activity Log'!$J$6:$J$1005,"No",'Activity Log'!$I$6:$I$1005,"&gt;0")))</x:f>
      </x:c>
      <x:c r="R240" s="57" t="str">
        <x:f>IF($C240="","",IF(OR($K240="Won",$K240="Lost",$K240="Disqualified"),"Closed",IF($Q240="","No date",IF(INT($Q240)&lt;TODAY(),"Overdue",IF(INT($Q240)=TODAY(),"Today",IF(INT($Q240)&lt;=TODAY()+7,"Next 7 days","Later"))))))</x:f>
      </x:c>
      <x:c r="S240" s="57" t="str">
        <x:f>IF(OR($C240="",$P240=""),"",TODAY()-INT($P240))</x:f>
      </x:c>
      <x:c r="T240" s="54"/>
      <x:c r="U240" s="54"/>
      <x:c r="V240" s="63"/>
      <x:c r="W240" s="74"/>
      <x:c r="X240" s="77" t="str">
        <x:f>IF($C240="","",IFERROR(VLOOKUP($M240,'Lists &amp; Rules'!$L$5:$N$13,2,FALSE),0))</x:f>
      </x:c>
      <x:c r="Y240" s="80" t="str">
        <x:f>IF(OR($C240="",$W240=""),"",ROUND($W240*$X240,0))</x:f>
      </x:c>
      <x:c r="Z240" s="57" t="str">
        <x:f>IF($A240="","",COUNTIF('Activity Log'!$C$6:$C$1005,$A240))</x:f>
      </x:c>
      <x:c r="AA240" s="68"/>
      <x:c r="AB240" s="63"/>
    </x:row>
    <x:row r="241">
      <x:c r="A241" s="54"/>
      <x:c r="B241" s="68"/>
      <x:c r="C241" s="54"/>
      <x:c r="D241" s="54"/>
      <x:c r="E241" s="54"/>
      <x:c r="F241" s="54"/>
      <x:c r="G241" s="54"/>
      <x:c r="H241" s="54"/>
      <x:c r="I241" s="54"/>
      <x:c r="J241" s="54"/>
      <x:c r="K241" s="54"/>
      <x:c r="L241" s="54"/>
      <x:c r="M241" s="54"/>
      <x:c r="N241" s="54"/>
      <x:c r="O241" s="57" t="str">
        <x:f>IF($C241="","",MAX(0,MIN(100,IFERROR(VLOOKUP($L241,'Lists &amp; Rules'!$P$5:$Q$8,2,FALSE),0)+IFERROR(VLOOKUP($N241,'Lists &amp; Rules'!$S$5:$T$7,2,FALSE),0)+IFERROR(VLOOKUP($M241,'Lists &amp; Rules'!$L$5:$N$13,3,FALSE),0)+IF($R241="Overdue",-10,IF($R241="Today",5,0))+MIN(15,$Z241*3))))</x:f>
      </x:c>
      <x:c r="P241" s="71" t="str">
        <x:f>IF($A241="","",IF(COUNTIF('Activity Log'!$C$6:$C$1005,$A241)=0,"",MAXIFS('Activity Log'!$B$6:$B$1005,'Activity Log'!$C$6:$C$1005,$A241)))</x:f>
      </x:c>
      <x:c r="Q241" s="71" t="str">
        <x:f>IF($A241="","",IF(COUNTIFS('Activity Log'!$C$6:$C$1005,$A241,'Activity Log'!$J$6:$J$1005,"No",'Activity Log'!$I$6:$I$1005,"&gt;0")=0,"",MINIFS('Activity Log'!$I$6:$I$1005,'Activity Log'!$C$6:$C$1005,$A241,'Activity Log'!$J$6:$J$1005,"No",'Activity Log'!$I$6:$I$1005,"&gt;0")))</x:f>
      </x:c>
      <x:c r="R241" s="57" t="str">
        <x:f>IF($C241="","",IF(OR($K241="Won",$K241="Lost",$K241="Disqualified"),"Closed",IF($Q241="","No date",IF(INT($Q241)&lt;TODAY(),"Overdue",IF(INT($Q241)=TODAY(),"Today",IF(INT($Q241)&lt;=TODAY()+7,"Next 7 days","Later"))))))</x:f>
      </x:c>
      <x:c r="S241" s="57" t="str">
        <x:f>IF(OR($C241="",$P241=""),"",TODAY()-INT($P241))</x:f>
      </x:c>
      <x:c r="T241" s="54"/>
      <x:c r="U241" s="54"/>
      <x:c r="V241" s="63"/>
      <x:c r="W241" s="74"/>
      <x:c r="X241" s="77" t="str">
        <x:f>IF($C241="","",IFERROR(VLOOKUP($M241,'Lists &amp; Rules'!$L$5:$N$13,2,FALSE),0))</x:f>
      </x:c>
      <x:c r="Y241" s="80" t="str">
        <x:f>IF(OR($C241="",$W241=""),"",ROUND($W241*$X241,0))</x:f>
      </x:c>
      <x:c r="Z241" s="57" t="str">
        <x:f>IF($A241="","",COUNTIF('Activity Log'!$C$6:$C$1005,$A241))</x:f>
      </x:c>
      <x:c r="AA241" s="68"/>
      <x:c r="AB241" s="63"/>
    </x:row>
    <x:row r="242">
      <x:c r="A242" s="54"/>
      <x:c r="B242" s="68"/>
      <x:c r="C242" s="54"/>
      <x:c r="D242" s="54"/>
      <x:c r="E242" s="54"/>
      <x:c r="F242" s="54"/>
      <x:c r="G242" s="54"/>
      <x:c r="H242" s="54"/>
      <x:c r="I242" s="54"/>
      <x:c r="J242" s="54"/>
      <x:c r="K242" s="54"/>
      <x:c r="L242" s="54"/>
      <x:c r="M242" s="54"/>
      <x:c r="N242" s="54"/>
      <x:c r="O242" s="57" t="str">
        <x:f>IF($C242="","",MAX(0,MIN(100,IFERROR(VLOOKUP($L242,'Lists &amp; Rules'!$P$5:$Q$8,2,FALSE),0)+IFERROR(VLOOKUP($N242,'Lists &amp; Rules'!$S$5:$T$7,2,FALSE),0)+IFERROR(VLOOKUP($M242,'Lists &amp; Rules'!$L$5:$N$13,3,FALSE),0)+IF($R242="Overdue",-10,IF($R242="Today",5,0))+MIN(15,$Z242*3))))</x:f>
      </x:c>
      <x:c r="P242" s="71" t="str">
        <x:f>IF($A242="","",IF(COUNTIF('Activity Log'!$C$6:$C$1005,$A242)=0,"",MAXIFS('Activity Log'!$B$6:$B$1005,'Activity Log'!$C$6:$C$1005,$A242)))</x:f>
      </x:c>
      <x:c r="Q242" s="71" t="str">
        <x:f>IF($A242="","",IF(COUNTIFS('Activity Log'!$C$6:$C$1005,$A242,'Activity Log'!$J$6:$J$1005,"No",'Activity Log'!$I$6:$I$1005,"&gt;0")=0,"",MINIFS('Activity Log'!$I$6:$I$1005,'Activity Log'!$C$6:$C$1005,$A242,'Activity Log'!$J$6:$J$1005,"No",'Activity Log'!$I$6:$I$1005,"&gt;0")))</x:f>
      </x:c>
      <x:c r="R242" s="57" t="str">
        <x:f>IF($C242="","",IF(OR($K242="Won",$K242="Lost",$K242="Disqualified"),"Closed",IF($Q242="","No date",IF(INT($Q242)&lt;TODAY(),"Overdue",IF(INT($Q242)=TODAY(),"Today",IF(INT($Q242)&lt;=TODAY()+7,"Next 7 days","Later"))))))</x:f>
      </x:c>
      <x:c r="S242" s="57" t="str">
        <x:f>IF(OR($C242="",$P242=""),"",TODAY()-INT($P242))</x:f>
      </x:c>
      <x:c r="T242" s="54"/>
      <x:c r="U242" s="54"/>
      <x:c r="V242" s="63"/>
      <x:c r="W242" s="74"/>
      <x:c r="X242" s="77" t="str">
        <x:f>IF($C242="","",IFERROR(VLOOKUP($M242,'Lists &amp; Rules'!$L$5:$N$13,2,FALSE),0))</x:f>
      </x:c>
      <x:c r="Y242" s="80" t="str">
        <x:f>IF(OR($C242="",$W242=""),"",ROUND($W242*$X242,0))</x:f>
      </x:c>
      <x:c r="Z242" s="57" t="str">
        <x:f>IF($A242="","",COUNTIF('Activity Log'!$C$6:$C$1005,$A242))</x:f>
      </x:c>
      <x:c r="AA242" s="68"/>
      <x:c r="AB242" s="63"/>
    </x:row>
    <x:row r="243">
      <x:c r="A243" s="54"/>
      <x:c r="B243" s="68"/>
      <x:c r="C243" s="54"/>
      <x:c r="D243" s="54"/>
      <x:c r="E243" s="54"/>
      <x:c r="F243" s="54"/>
      <x:c r="G243" s="54"/>
      <x:c r="H243" s="54"/>
      <x:c r="I243" s="54"/>
      <x:c r="J243" s="54"/>
      <x:c r="K243" s="54"/>
      <x:c r="L243" s="54"/>
      <x:c r="M243" s="54"/>
      <x:c r="N243" s="54"/>
      <x:c r="O243" s="57" t="str">
        <x:f>IF($C243="","",MAX(0,MIN(100,IFERROR(VLOOKUP($L243,'Lists &amp; Rules'!$P$5:$Q$8,2,FALSE),0)+IFERROR(VLOOKUP($N243,'Lists &amp; Rules'!$S$5:$T$7,2,FALSE),0)+IFERROR(VLOOKUP($M243,'Lists &amp; Rules'!$L$5:$N$13,3,FALSE),0)+IF($R243="Overdue",-10,IF($R243="Today",5,0))+MIN(15,$Z243*3))))</x:f>
      </x:c>
      <x:c r="P243" s="71" t="str">
        <x:f>IF($A243="","",IF(COUNTIF('Activity Log'!$C$6:$C$1005,$A243)=0,"",MAXIFS('Activity Log'!$B$6:$B$1005,'Activity Log'!$C$6:$C$1005,$A243)))</x:f>
      </x:c>
      <x:c r="Q243" s="71" t="str">
        <x:f>IF($A243="","",IF(COUNTIFS('Activity Log'!$C$6:$C$1005,$A243,'Activity Log'!$J$6:$J$1005,"No",'Activity Log'!$I$6:$I$1005,"&gt;0")=0,"",MINIFS('Activity Log'!$I$6:$I$1005,'Activity Log'!$C$6:$C$1005,$A243,'Activity Log'!$J$6:$J$1005,"No",'Activity Log'!$I$6:$I$1005,"&gt;0")))</x:f>
      </x:c>
      <x:c r="R243" s="57" t="str">
        <x:f>IF($C243="","",IF(OR($K243="Won",$K243="Lost",$K243="Disqualified"),"Closed",IF($Q243="","No date",IF(INT($Q243)&lt;TODAY(),"Overdue",IF(INT($Q243)=TODAY(),"Today",IF(INT($Q243)&lt;=TODAY()+7,"Next 7 days","Later"))))))</x:f>
      </x:c>
      <x:c r="S243" s="57" t="str">
        <x:f>IF(OR($C243="",$P243=""),"",TODAY()-INT($P243))</x:f>
      </x:c>
      <x:c r="T243" s="54"/>
      <x:c r="U243" s="54"/>
      <x:c r="V243" s="63"/>
      <x:c r="W243" s="74"/>
      <x:c r="X243" s="77" t="str">
        <x:f>IF($C243="","",IFERROR(VLOOKUP($M243,'Lists &amp; Rules'!$L$5:$N$13,2,FALSE),0))</x:f>
      </x:c>
      <x:c r="Y243" s="80" t="str">
        <x:f>IF(OR($C243="",$W243=""),"",ROUND($W243*$X243,0))</x:f>
      </x:c>
      <x:c r="Z243" s="57" t="str">
        <x:f>IF($A243="","",COUNTIF('Activity Log'!$C$6:$C$1005,$A243))</x:f>
      </x:c>
      <x:c r="AA243" s="68"/>
      <x:c r="AB243" s="63"/>
    </x:row>
    <x:row r="244">
      <x:c r="A244" s="54"/>
      <x:c r="B244" s="68"/>
      <x:c r="C244" s="54"/>
      <x:c r="D244" s="54"/>
      <x:c r="E244" s="54"/>
      <x:c r="F244" s="54"/>
      <x:c r="G244" s="54"/>
      <x:c r="H244" s="54"/>
      <x:c r="I244" s="54"/>
      <x:c r="J244" s="54"/>
      <x:c r="K244" s="54"/>
      <x:c r="L244" s="54"/>
      <x:c r="M244" s="54"/>
      <x:c r="N244" s="54"/>
      <x:c r="O244" s="57" t="str">
        <x:f>IF($C244="","",MAX(0,MIN(100,IFERROR(VLOOKUP($L244,'Lists &amp; Rules'!$P$5:$Q$8,2,FALSE),0)+IFERROR(VLOOKUP($N244,'Lists &amp; Rules'!$S$5:$T$7,2,FALSE),0)+IFERROR(VLOOKUP($M244,'Lists &amp; Rules'!$L$5:$N$13,3,FALSE),0)+IF($R244="Overdue",-10,IF($R244="Today",5,0))+MIN(15,$Z244*3))))</x:f>
      </x:c>
      <x:c r="P244" s="71" t="str">
        <x:f>IF($A244="","",IF(COUNTIF('Activity Log'!$C$6:$C$1005,$A244)=0,"",MAXIFS('Activity Log'!$B$6:$B$1005,'Activity Log'!$C$6:$C$1005,$A244)))</x:f>
      </x:c>
      <x:c r="Q244" s="71" t="str">
        <x:f>IF($A244="","",IF(COUNTIFS('Activity Log'!$C$6:$C$1005,$A244,'Activity Log'!$J$6:$J$1005,"No",'Activity Log'!$I$6:$I$1005,"&gt;0")=0,"",MINIFS('Activity Log'!$I$6:$I$1005,'Activity Log'!$C$6:$C$1005,$A244,'Activity Log'!$J$6:$J$1005,"No",'Activity Log'!$I$6:$I$1005,"&gt;0")))</x:f>
      </x:c>
      <x:c r="R244" s="57" t="str">
        <x:f>IF($C244="","",IF(OR($K244="Won",$K244="Lost",$K244="Disqualified"),"Closed",IF($Q244="","No date",IF(INT($Q244)&lt;TODAY(),"Overdue",IF(INT($Q244)=TODAY(),"Today",IF(INT($Q244)&lt;=TODAY()+7,"Next 7 days","Later"))))))</x:f>
      </x:c>
      <x:c r="S244" s="57" t="str">
        <x:f>IF(OR($C244="",$P244=""),"",TODAY()-INT($P244))</x:f>
      </x:c>
      <x:c r="T244" s="54"/>
      <x:c r="U244" s="54"/>
      <x:c r="V244" s="63"/>
      <x:c r="W244" s="74"/>
      <x:c r="X244" s="77" t="str">
        <x:f>IF($C244="","",IFERROR(VLOOKUP($M244,'Lists &amp; Rules'!$L$5:$N$13,2,FALSE),0))</x:f>
      </x:c>
      <x:c r="Y244" s="80" t="str">
        <x:f>IF(OR($C244="",$W244=""),"",ROUND($W244*$X244,0))</x:f>
      </x:c>
      <x:c r="Z244" s="57" t="str">
        <x:f>IF($A244="","",COUNTIF('Activity Log'!$C$6:$C$1005,$A244))</x:f>
      </x:c>
      <x:c r="AA244" s="68"/>
      <x:c r="AB244" s="63"/>
    </x:row>
    <x:row r="245">
      <x:c r="A245" s="54"/>
      <x:c r="B245" s="68"/>
      <x:c r="C245" s="54"/>
      <x:c r="D245" s="54"/>
      <x:c r="E245" s="54"/>
      <x:c r="F245" s="54"/>
      <x:c r="G245" s="54"/>
      <x:c r="H245" s="54"/>
      <x:c r="I245" s="54"/>
      <x:c r="J245" s="54"/>
      <x:c r="K245" s="54"/>
      <x:c r="L245" s="54"/>
      <x:c r="M245" s="54"/>
      <x:c r="N245" s="54"/>
      <x:c r="O245" s="57" t="str">
        <x:f>IF($C245="","",MAX(0,MIN(100,IFERROR(VLOOKUP($L245,'Lists &amp; Rules'!$P$5:$Q$8,2,FALSE),0)+IFERROR(VLOOKUP($N245,'Lists &amp; Rules'!$S$5:$T$7,2,FALSE),0)+IFERROR(VLOOKUP($M245,'Lists &amp; Rules'!$L$5:$N$13,3,FALSE),0)+IF($R245="Overdue",-10,IF($R245="Today",5,0))+MIN(15,$Z245*3))))</x:f>
      </x:c>
      <x:c r="P245" s="71" t="str">
        <x:f>IF($A245="","",IF(COUNTIF('Activity Log'!$C$6:$C$1005,$A245)=0,"",MAXIFS('Activity Log'!$B$6:$B$1005,'Activity Log'!$C$6:$C$1005,$A245)))</x:f>
      </x:c>
      <x:c r="Q245" s="71" t="str">
        <x:f>IF($A245="","",IF(COUNTIFS('Activity Log'!$C$6:$C$1005,$A245,'Activity Log'!$J$6:$J$1005,"No",'Activity Log'!$I$6:$I$1005,"&gt;0")=0,"",MINIFS('Activity Log'!$I$6:$I$1005,'Activity Log'!$C$6:$C$1005,$A245,'Activity Log'!$J$6:$J$1005,"No",'Activity Log'!$I$6:$I$1005,"&gt;0")))</x:f>
      </x:c>
      <x:c r="R245" s="57" t="str">
        <x:f>IF($C245="","",IF(OR($K245="Won",$K245="Lost",$K245="Disqualified"),"Closed",IF($Q245="","No date",IF(INT($Q245)&lt;TODAY(),"Overdue",IF(INT($Q245)=TODAY(),"Today",IF(INT($Q245)&lt;=TODAY()+7,"Next 7 days","Later"))))))</x:f>
      </x:c>
      <x:c r="S245" s="57" t="str">
        <x:f>IF(OR($C245="",$P245=""),"",TODAY()-INT($P245))</x:f>
      </x:c>
      <x:c r="T245" s="54"/>
      <x:c r="U245" s="54"/>
      <x:c r="V245" s="63"/>
      <x:c r="W245" s="74"/>
      <x:c r="X245" s="77" t="str">
        <x:f>IF($C245="","",IFERROR(VLOOKUP($M245,'Lists &amp; Rules'!$L$5:$N$13,2,FALSE),0))</x:f>
      </x:c>
      <x:c r="Y245" s="80" t="str">
        <x:f>IF(OR($C245="",$W245=""),"",ROUND($W245*$X245,0))</x:f>
      </x:c>
      <x:c r="Z245" s="57" t="str">
        <x:f>IF($A245="","",COUNTIF('Activity Log'!$C$6:$C$1005,$A245))</x:f>
      </x:c>
      <x:c r="AA245" s="68"/>
      <x:c r="AB245" s="63"/>
    </x:row>
    <x:row r="246">
      <x:c r="A246" s="54"/>
      <x:c r="B246" s="68"/>
      <x:c r="C246" s="54"/>
      <x:c r="D246" s="54"/>
      <x:c r="E246" s="54"/>
      <x:c r="F246" s="54"/>
      <x:c r="G246" s="54"/>
      <x:c r="H246" s="54"/>
      <x:c r="I246" s="54"/>
      <x:c r="J246" s="54"/>
      <x:c r="K246" s="54"/>
      <x:c r="L246" s="54"/>
      <x:c r="M246" s="54"/>
      <x:c r="N246" s="54"/>
      <x:c r="O246" s="57" t="str">
        <x:f>IF($C246="","",MAX(0,MIN(100,IFERROR(VLOOKUP($L246,'Lists &amp; Rules'!$P$5:$Q$8,2,FALSE),0)+IFERROR(VLOOKUP($N246,'Lists &amp; Rules'!$S$5:$T$7,2,FALSE),0)+IFERROR(VLOOKUP($M246,'Lists &amp; Rules'!$L$5:$N$13,3,FALSE),0)+IF($R246="Overdue",-10,IF($R246="Today",5,0))+MIN(15,$Z246*3))))</x:f>
      </x:c>
      <x:c r="P246" s="71" t="str">
        <x:f>IF($A246="","",IF(COUNTIF('Activity Log'!$C$6:$C$1005,$A246)=0,"",MAXIFS('Activity Log'!$B$6:$B$1005,'Activity Log'!$C$6:$C$1005,$A246)))</x:f>
      </x:c>
      <x:c r="Q246" s="71" t="str">
        <x:f>IF($A246="","",IF(COUNTIFS('Activity Log'!$C$6:$C$1005,$A246,'Activity Log'!$J$6:$J$1005,"No",'Activity Log'!$I$6:$I$1005,"&gt;0")=0,"",MINIFS('Activity Log'!$I$6:$I$1005,'Activity Log'!$C$6:$C$1005,$A246,'Activity Log'!$J$6:$J$1005,"No",'Activity Log'!$I$6:$I$1005,"&gt;0")))</x:f>
      </x:c>
      <x:c r="R246" s="57" t="str">
        <x:f>IF($C246="","",IF(OR($K246="Won",$K246="Lost",$K246="Disqualified"),"Closed",IF($Q246="","No date",IF(INT($Q246)&lt;TODAY(),"Overdue",IF(INT($Q246)=TODAY(),"Today",IF(INT($Q246)&lt;=TODAY()+7,"Next 7 days","Later"))))))</x:f>
      </x:c>
      <x:c r="S246" s="57" t="str">
        <x:f>IF(OR($C246="",$P246=""),"",TODAY()-INT($P246))</x:f>
      </x:c>
      <x:c r="T246" s="54"/>
      <x:c r="U246" s="54"/>
      <x:c r="V246" s="63"/>
      <x:c r="W246" s="74"/>
      <x:c r="X246" s="77" t="str">
        <x:f>IF($C246="","",IFERROR(VLOOKUP($M246,'Lists &amp; Rules'!$L$5:$N$13,2,FALSE),0))</x:f>
      </x:c>
      <x:c r="Y246" s="80" t="str">
        <x:f>IF(OR($C246="",$W246=""),"",ROUND($W246*$X246,0))</x:f>
      </x:c>
      <x:c r="Z246" s="57" t="str">
        <x:f>IF($A246="","",COUNTIF('Activity Log'!$C$6:$C$1005,$A246))</x:f>
      </x:c>
      <x:c r="AA246" s="68"/>
      <x:c r="AB246" s="63"/>
    </x:row>
    <x:row r="247">
      <x:c r="A247" s="54"/>
      <x:c r="B247" s="68"/>
      <x:c r="C247" s="54"/>
      <x:c r="D247" s="54"/>
      <x:c r="E247" s="54"/>
      <x:c r="F247" s="54"/>
      <x:c r="G247" s="54"/>
      <x:c r="H247" s="54"/>
      <x:c r="I247" s="54"/>
      <x:c r="J247" s="54"/>
      <x:c r="K247" s="54"/>
      <x:c r="L247" s="54"/>
      <x:c r="M247" s="54"/>
      <x:c r="N247" s="54"/>
      <x:c r="O247" s="57" t="str">
        <x:f>IF($C247="","",MAX(0,MIN(100,IFERROR(VLOOKUP($L247,'Lists &amp; Rules'!$P$5:$Q$8,2,FALSE),0)+IFERROR(VLOOKUP($N247,'Lists &amp; Rules'!$S$5:$T$7,2,FALSE),0)+IFERROR(VLOOKUP($M247,'Lists &amp; Rules'!$L$5:$N$13,3,FALSE),0)+IF($R247="Overdue",-10,IF($R247="Today",5,0))+MIN(15,$Z247*3))))</x:f>
      </x:c>
      <x:c r="P247" s="71" t="str">
        <x:f>IF($A247="","",IF(COUNTIF('Activity Log'!$C$6:$C$1005,$A247)=0,"",MAXIFS('Activity Log'!$B$6:$B$1005,'Activity Log'!$C$6:$C$1005,$A247)))</x:f>
      </x:c>
      <x:c r="Q247" s="71" t="str">
        <x:f>IF($A247="","",IF(COUNTIFS('Activity Log'!$C$6:$C$1005,$A247,'Activity Log'!$J$6:$J$1005,"No",'Activity Log'!$I$6:$I$1005,"&gt;0")=0,"",MINIFS('Activity Log'!$I$6:$I$1005,'Activity Log'!$C$6:$C$1005,$A247,'Activity Log'!$J$6:$J$1005,"No",'Activity Log'!$I$6:$I$1005,"&gt;0")))</x:f>
      </x:c>
      <x:c r="R247" s="57" t="str">
        <x:f>IF($C247="","",IF(OR($K247="Won",$K247="Lost",$K247="Disqualified"),"Closed",IF($Q247="","No date",IF(INT($Q247)&lt;TODAY(),"Overdue",IF(INT($Q247)=TODAY(),"Today",IF(INT($Q247)&lt;=TODAY()+7,"Next 7 days","Later"))))))</x:f>
      </x:c>
      <x:c r="S247" s="57" t="str">
        <x:f>IF(OR($C247="",$P247=""),"",TODAY()-INT($P247))</x:f>
      </x:c>
      <x:c r="T247" s="54"/>
      <x:c r="U247" s="54"/>
      <x:c r="V247" s="63"/>
      <x:c r="W247" s="74"/>
      <x:c r="X247" s="77" t="str">
        <x:f>IF($C247="","",IFERROR(VLOOKUP($M247,'Lists &amp; Rules'!$L$5:$N$13,2,FALSE),0))</x:f>
      </x:c>
      <x:c r="Y247" s="80" t="str">
        <x:f>IF(OR($C247="",$W247=""),"",ROUND($W247*$X247,0))</x:f>
      </x:c>
      <x:c r="Z247" s="57" t="str">
        <x:f>IF($A247="","",COUNTIF('Activity Log'!$C$6:$C$1005,$A247))</x:f>
      </x:c>
      <x:c r="AA247" s="68"/>
      <x:c r="AB247" s="63"/>
    </x:row>
    <x:row r="248">
      <x:c r="A248" s="54"/>
      <x:c r="B248" s="68"/>
      <x:c r="C248" s="54"/>
      <x:c r="D248" s="54"/>
      <x:c r="E248" s="54"/>
      <x:c r="F248" s="54"/>
      <x:c r="G248" s="54"/>
      <x:c r="H248" s="54"/>
      <x:c r="I248" s="54"/>
      <x:c r="J248" s="54"/>
      <x:c r="K248" s="54"/>
      <x:c r="L248" s="54"/>
      <x:c r="M248" s="54"/>
      <x:c r="N248" s="54"/>
      <x:c r="O248" s="57" t="str">
        <x:f>IF($C248="","",MAX(0,MIN(100,IFERROR(VLOOKUP($L248,'Lists &amp; Rules'!$P$5:$Q$8,2,FALSE),0)+IFERROR(VLOOKUP($N248,'Lists &amp; Rules'!$S$5:$T$7,2,FALSE),0)+IFERROR(VLOOKUP($M248,'Lists &amp; Rules'!$L$5:$N$13,3,FALSE),0)+IF($R248="Overdue",-10,IF($R248="Today",5,0))+MIN(15,$Z248*3))))</x:f>
      </x:c>
      <x:c r="P248" s="71" t="str">
        <x:f>IF($A248="","",IF(COUNTIF('Activity Log'!$C$6:$C$1005,$A248)=0,"",MAXIFS('Activity Log'!$B$6:$B$1005,'Activity Log'!$C$6:$C$1005,$A248)))</x:f>
      </x:c>
      <x:c r="Q248" s="71" t="str">
        <x:f>IF($A248="","",IF(COUNTIFS('Activity Log'!$C$6:$C$1005,$A248,'Activity Log'!$J$6:$J$1005,"No",'Activity Log'!$I$6:$I$1005,"&gt;0")=0,"",MINIFS('Activity Log'!$I$6:$I$1005,'Activity Log'!$C$6:$C$1005,$A248,'Activity Log'!$J$6:$J$1005,"No",'Activity Log'!$I$6:$I$1005,"&gt;0")))</x:f>
      </x:c>
      <x:c r="R248" s="57" t="str">
        <x:f>IF($C248="","",IF(OR($K248="Won",$K248="Lost",$K248="Disqualified"),"Closed",IF($Q248="","No date",IF(INT($Q248)&lt;TODAY(),"Overdue",IF(INT($Q248)=TODAY(),"Today",IF(INT($Q248)&lt;=TODAY()+7,"Next 7 days","Later"))))))</x:f>
      </x:c>
      <x:c r="S248" s="57" t="str">
        <x:f>IF(OR($C248="",$P248=""),"",TODAY()-INT($P248))</x:f>
      </x:c>
      <x:c r="T248" s="54"/>
      <x:c r="U248" s="54"/>
      <x:c r="V248" s="63"/>
      <x:c r="W248" s="74"/>
      <x:c r="X248" s="77" t="str">
        <x:f>IF($C248="","",IFERROR(VLOOKUP($M248,'Lists &amp; Rules'!$L$5:$N$13,2,FALSE),0))</x:f>
      </x:c>
      <x:c r="Y248" s="80" t="str">
        <x:f>IF(OR($C248="",$W248=""),"",ROUND($W248*$X248,0))</x:f>
      </x:c>
      <x:c r="Z248" s="57" t="str">
        <x:f>IF($A248="","",COUNTIF('Activity Log'!$C$6:$C$1005,$A248))</x:f>
      </x:c>
      <x:c r="AA248" s="68"/>
      <x:c r="AB248" s="63"/>
    </x:row>
    <x:row r="249">
      <x:c r="A249" s="54"/>
      <x:c r="B249" s="68"/>
      <x:c r="C249" s="54"/>
      <x:c r="D249" s="54"/>
      <x:c r="E249" s="54"/>
      <x:c r="F249" s="54"/>
      <x:c r="G249" s="54"/>
      <x:c r="H249" s="54"/>
      <x:c r="I249" s="54"/>
      <x:c r="J249" s="54"/>
      <x:c r="K249" s="54"/>
      <x:c r="L249" s="54"/>
      <x:c r="M249" s="54"/>
      <x:c r="N249" s="54"/>
      <x:c r="O249" s="57" t="str">
        <x:f>IF($C249="","",MAX(0,MIN(100,IFERROR(VLOOKUP($L249,'Lists &amp; Rules'!$P$5:$Q$8,2,FALSE),0)+IFERROR(VLOOKUP($N249,'Lists &amp; Rules'!$S$5:$T$7,2,FALSE),0)+IFERROR(VLOOKUP($M249,'Lists &amp; Rules'!$L$5:$N$13,3,FALSE),0)+IF($R249="Overdue",-10,IF($R249="Today",5,0))+MIN(15,$Z249*3))))</x:f>
      </x:c>
      <x:c r="P249" s="71" t="str">
        <x:f>IF($A249="","",IF(COUNTIF('Activity Log'!$C$6:$C$1005,$A249)=0,"",MAXIFS('Activity Log'!$B$6:$B$1005,'Activity Log'!$C$6:$C$1005,$A249)))</x:f>
      </x:c>
      <x:c r="Q249" s="71" t="str">
        <x:f>IF($A249="","",IF(COUNTIFS('Activity Log'!$C$6:$C$1005,$A249,'Activity Log'!$J$6:$J$1005,"No",'Activity Log'!$I$6:$I$1005,"&gt;0")=0,"",MINIFS('Activity Log'!$I$6:$I$1005,'Activity Log'!$C$6:$C$1005,$A249,'Activity Log'!$J$6:$J$1005,"No",'Activity Log'!$I$6:$I$1005,"&gt;0")))</x:f>
      </x:c>
      <x:c r="R249" s="57" t="str">
        <x:f>IF($C249="","",IF(OR($K249="Won",$K249="Lost",$K249="Disqualified"),"Closed",IF($Q249="","No date",IF(INT($Q249)&lt;TODAY(),"Overdue",IF(INT($Q249)=TODAY(),"Today",IF(INT($Q249)&lt;=TODAY()+7,"Next 7 days","Later"))))))</x:f>
      </x:c>
      <x:c r="S249" s="57" t="str">
        <x:f>IF(OR($C249="",$P249=""),"",TODAY()-INT($P249))</x:f>
      </x:c>
      <x:c r="T249" s="54"/>
      <x:c r="U249" s="54"/>
      <x:c r="V249" s="63"/>
      <x:c r="W249" s="74"/>
      <x:c r="X249" s="77" t="str">
        <x:f>IF($C249="","",IFERROR(VLOOKUP($M249,'Lists &amp; Rules'!$L$5:$N$13,2,FALSE),0))</x:f>
      </x:c>
      <x:c r="Y249" s="80" t="str">
        <x:f>IF(OR($C249="",$W249=""),"",ROUND($W249*$X249,0))</x:f>
      </x:c>
      <x:c r="Z249" s="57" t="str">
        <x:f>IF($A249="","",COUNTIF('Activity Log'!$C$6:$C$1005,$A249))</x:f>
      </x:c>
      <x:c r="AA249" s="68"/>
      <x:c r="AB249" s="63"/>
    </x:row>
    <x:row r="250">
      <x:c r="A250" s="54"/>
      <x:c r="B250" s="68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  <x:c r="M250" s="54"/>
      <x:c r="N250" s="54"/>
      <x:c r="O250" s="57" t="str">
        <x:f>IF($C250="","",MAX(0,MIN(100,IFERROR(VLOOKUP($L250,'Lists &amp; Rules'!$P$5:$Q$8,2,FALSE),0)+IFERROR(VLOOKUP($N250,'Lists &amp; Rules'!$S$5:$T$7,2,FALSE),0)+IFERROR(VLOOKUP($M250,'Lists &amp; Rules'!$L$5:$N$13,3,FALSE),0)+IF($R250="Overdue",-10,IF($R250="Today",5,0))+MIN(15,$Z250*3))))</x:f>
      </x:c>
      <x:c r="P250" s="71" t="str">
        <x:f>IF($A250="","",IF(COUNTIF('Activity Log'!$C$6:$C$1005,$A250)=0,"",MAXIFS('Activity Log'!$B$6:$B$1005,'Activity Log'!$C$6:$C$1005,$A250)))</x:f>
      </x:c>
      <x:c r="Q250" s="71" t="str">
        <x:f>IF($A250="","",IF(COUNTIFS('Activity Log'!$C$6:$C$1005,$A250,'Activity Log'!$J$6:$J$1005,"No",'Activity Log'!$I$6:$I$1005,"&gt;0")=0,"",MINIFS('Activity Log'!$I$6:$I$1005,'Activity Log'!$C$6:$C$1005,$A250,'Activity Log'!$J$6:$J$1005,"No",'Activity Log'!$I$6:$I$1005,"&gt;0")))</x:f>
      </x:c>
      <x:c r="R250" s="57" t="str">
        <x:f>IF($C250="","",IF(OR($K250="Won",$K250="Lost",$K250="Disqualified"),"Closed",IF($Q250="","No date",IF(INT($Q250)&lt;TODAY(),"Overdue",IF(INT($Q250)=TODAY(),"Today",IF(INT($Q250)&lt;=TODAY()+7,"Next 7 days","Later"))))))</x:f>
      </x:c>
      <x:c r="S250" s="57" t="str">
        <x:f>IF(OR($C250="",$P250=""),"",TODAY()-INT($P250))</x:f>
      </x:c>
      <x:c r="T250" s="54"/>
      <x:c r="U250" s="54"/>
      <x:c r="V250" s="63"/>
      <x:c r="W250" s="74"/>
      <x:c r="X250" s="77" t="str">
        <x:f>IF($C250="","",IFERROR(VLOOKUP($M250,'Lists &amp; Rules'!$L$5:$N$13,2,FALSE),0))</x:f>
      </x:c>
      <x:c r="Y250" s="80" t="str">
        <x:f>IF(OR($C250="",$W250=""),"",ROUND($W250*$X250,0))</x:f>
      </x:c>
      <x:c r="Z250" s="57" t="str">
        <x:f>IF($A250="","",COUNTIF('Activity Log'!$C$6:$C$1005,$A250))</x:f>
      </x:c>
      <x:c r="AA250" s="68"/>
      <x:c r="AB250" s="63"/>
    </x:row>
    <x:row r="251">
      <x:c r="A251" s="54"/>
      <x:c r="B251" s="68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  <x:c r="M251" s="54"/>
      <x:c r="N251" s="54"/>
      <x:c r="O251" s="57" t="str">
        <x:f>IF($C251="","",MAX(0,MIN(100,IFERROR(VLOOKUP($L251,'Lists &amp; Rules'!$P$5:$Q$8,2,FALSE),0)+IFERROR(VLOOKUP($N251,'Lists &amp; Rules'!$S$5:$T$7,2,FALSE),0)+IFERROR(VLOOKUP($M251,'Lists &amp; Rules'!$L$5:$N$13,3,FALSE),0)+IF($R251="Overdue",-10,IF($R251="Today",5,0))+MIN(15,$Z251*3))))</x:f>
      </x:c>
      <x:c r="P251" s="71" t="str">
        <x:f>IF($A251="","",IF(COUNTIF('Activity Log'!$C$6:$C$1005,$A251)=0,"",MAXIFS('Activity Log'!$B$6:$B$1005,'Activity Log'!$C$6:$C$1005,$A251)))</x:f>
      </x:c>
      <x:c r="Q251" s="71" t="str">
        <x:f>IF($A251="","",IF(COUNTIFS('Activity Log'!$C$6:$C$1005,$A251,'Activity Log'!$J$6:$J$1005,"No",'Activity Log'!$I$6:$I$1005,"&gt;0")=0,"",MINIFS('Activity Log'!$I$6:$I$1005,'Activity Log'!$C$6:$C$1005,$A251,'Activity Log'!$J$6:$J$1005,"No",'Activity Log'!$I$6:$I$1005,"&gt;0")))</x:f>
      </x:c>
      <x:c r="R251" s="57" t="str">
        <x:f>IF($C251="","",IF(OR($K251="Won",$K251="Lost",$K251="Disqualified"),"Closed",IF($Q251="","No date",IF(INT($Q251)&lt;TODAY(),"Overdue",IF(INT($Q251)=TODAY(),"Today",IF(INT($Q251)&lt;=TODAY()+7,"Next 7 days","Later"))))))</x:f>
      </x:c>
      <x:c r="S251" s="57" t="str">
        <x:f>IF(OR($C251="",$P251=""),"",TODAY()-INT($P251))</x:f>
      </x:c>
      <x:c r="T251" s="54"/>
      <x:c r="U251" s="54"/>
      <x:c r="V251" s="63"/>
      <x:c r="W251" s="74"/>
      <x:c r="X251" s="77" t="str">
        <x:f>IF($C251="","",IFERROR(VLOOKUP($M251,'Lists &amp; Rules'!$L$5:$N$13,2,FALSE),0))</x:f>
      </x:c>
      <x:c r="Y251" s="80" t="str">
        <x:f>IF(OR($C251="",$W251=""),"",ROUND($W251*$X251,0))</x:f>
      </x:c>
      <x:c r="Z251" s="57" t="str">
        <x:f>IF($A251="","",COUNTIF('Activity Log'!$C$6:$C$1005,$A251))</x:f>
      </x:c>
      <x:c r="AA251" s="68"/>
      <x:c r="AB251" s="63"/>
    </x:row>
    <x:row r="252">
      <x:c r="A252" s="54"/>
      <x:c r="B252" s="68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  <x:c r="M252" s="54"/>
      <x:c r="N252" s="54"/>
      <x:c r="O252" s="57" t="str">
        <x:f>IF($C252="","",MAX(0,MIN(100,IFERROR(VLOOKUP($L252,'Lists &amp; Rules'!$P$5:$Q$8,2,FALSE),0)+IFERROR(VLOOKUP($N252,'Lists &amp; Rules'!$S$5:$T$7,2,FALSE),0)+IFERROR(VLOOKUP($M252,'Lists &amp; Rules'!$L$5:$N$13,3,FALSE),0)+IF($R252="Overdue",-10,IF($R252="Today",5,0))+MIN(15,$Z252*3))))</x:f>
      </x:c>
      <x:c r="P252" s="71" t="str">
        <x:f>IF($A252="","",IF(COUNTIF('Activity Log'!$C$6:$C$1005,$A252)=0,"",MAXIFS('Activity Log'!$B$6:$B$1005,'Activity Log'!$C$6:$C$1005,$A252)))</x:f>
      </x:c>
      <x:c r="Q252" s="71" t="str">
        <x:f>IF($A252="","",IF(COUNTIFS('Activity Log'!$C$6:$C$1005,$A252,'Activity Log'!$J$6:$J$1005,"No",'Activity Log'!$I$6:$I$1005,"&gt;0")=0,"",MINIFS('Activity Log'!$I$6:$I$1005,'Activity Log'!$C$6:$C$1005,$A252,'Activity Log'!$J$6:$J$1005,"No",'Activity Log'!$I$6:$I$1005,"&gt;0")))</x:f>
      </x:c>
      <x:c r="R252" s="57" t="str">
        <x:f>IF($C252="","",IF(OR($K252="Won",$K252="Lost",$K252="Disqualified"),"Closed",IF($Q252="","No date",IF(INT($Q252)&lt;TODAY(),"Overdue",IF(INT($Q252)=TODAY(),"Today",IF(INT($Q252)&lt;=TODAY()+7,"Next 7 days","Later"))))))</x:f>
      </x:c>
      <x:c r="S252" s="57" t="str">
        <x:f>IF(OR($C252="",$P252=""),"",TODAY()-INT($P252))</x:f>
      </x:c>
      <x:c r="T252" s="54"/>
      <x:c r="U252" s="54"/>
      <x:c r="V252" s="63"/>
      <x:c r="W252" s="74"/>
      <x:c r="X252" s="77" t="str">
        <x:f>IF($C252="","",IFERROR(VLOOKUP($M252,'Lists &amp; Rules'!$L$5:$N$13,2,FALSE),0))</x:f>
      </x:c>
      <x:c r="Y252" s="80" t="str">
        <x:f>IF(OR($C252="",$W252=""),"",ROUND($W252*$X252,0))</x:f>
      </x:c>
      <x:c r="Z252" s="57" t="str">
        <x:f>IF($A252="","",COUNTIF('Activity Log'!$C$6:$C$1005,$A252))</x:f>
      </x:c>
      <x:c r="AA252" s="68"/>
      <x:c r="AB252" s="63"/>
    </x:row>
    <x:row r="253">
      <x:c r="A253" s="54"/>
      <x:c r="B253" s="68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  <x:c r="M253" s="54"/>
      <x:c r="N253" s="54"/>
      <x:c r="O253" s="57" t="str">
        <x:f>IF($C253="","",MAX(0,MIN(100,IFERROR(VLOOKUP($L253,'Lists &amp; Rules'!$P$5:$Q$8,2,FALSE),0)+IFERROR(VLOOKUP($N253,'Lists &amp; Rules'!$S$5:$T$7,2,FALSE),0)+IFERROR(VLOOKUP($M253,'Lists &amp; Rules'!$L$5:$N$13,3,FALSE),0)+IF($R253="Overdue",-10,IF($R253="Today",5,0))+MIN(15,$Z253*3))))</x:f>
      </x:c>
      <x:c r="P253" s="71" t="str">
        <x:f>IF($A253="","",IF(COUNTIF('Activity Log'!$C$6:$C$1005,$A253)=0,"",MAXIFS('Activity Log'!$B$6:$B$1005,'Activity Log'!$C$6:$C$1005,$A253)))</x:f>
      </x:c>
      <x:c r="Q253" s="71" t="str">
        <x:f>IF($A253="","",IF(COUNTIFS('Activity Log'!$C$6:$C$1005,$A253,'Activity Log'!$J$6:$J$1005,"No",'Activity Log'!$I$6:$I$1005,"&gt;0")=0,"",MINIFS('Activity Log'!$I$6:$I$1005,'Activity Log'!$C$6:$C$1005,$A253,'Activity Log'!$J$6:$J$1005,"No",'Activity Log'!$I$6:$I$1005,"&gt;0")))</x:f>
      </x:c>
      <x:c r="R253" s="57" t="str">
        <x:f>IF($C253="","",IF(OR($K253="Won",$K253="Lost",$K253="Disqualified"),"Closed",IF($Q253="","No date",IF(INT($Q253)&lt;TODAY(),"Overdue",IF(INT($Q253)=TODAY(),"Today",IF(INT($Q253)&lt;=TODAY()+7,"Next 7 days","Later"))))))</x:f>
      </x:c>
      <x:c r="S253" s="57" t="str">
        <x:f>IF(OR($C253="",$P253=""),"",TODAY()-INT($P253))</x:f>
      </x:c>
      <x:c r="T253" s="54"/>
      <x:c r="U253" s="54"/>
      <x:c r="V253" s="63"/>
      <x:c r="W253" s="74"/>
      <x:c r="X253" s="77" t="str">
        <x:f>IF($C253="","",IFERROR(VLOOKUP($M253,'Lists &amp; Rules'!$L$5:$N$13,2,FALSE),0))</x:f>
      </x:c>
      <x:c r="Y253" s="80" t="str">
        <x:f>IF(OR($C253="",$W253=""),"",ROUND($W253*$X253,0))</x:f>
      </x:c>
      <x:c r="Z253" s="57" t="str">
        <x:f>IF($A253="","",COUNTIF('Activity Log'!$C$6:$C$1005,$A253))</x:f>
      </x:c>
      <x:c r="AA253" s="68"/>
      <x:c r="AB253" s="63"/>
    </x:row>
    <x:row r="254">
      <x:c r="A254" s="54"/>
      <x:c r="B254" s="68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  <x:c r="M254" s="54"/>
      <x:c r="N254" s="54"/>
      <x:c r="O254" s="57" t="str">
        <x:f>IF($C254="","",MAX(0,MIN(100,IFERROR(VLOOKUP($L254,'Lists &amp; Rules'!$P$5:$Q$8,2,FALSE),0)+IFERROR(VLOOKUP($N254,'Lists &amp; Rules'!$S$5:$T$7,2,FALSE),0)+IFERROR(VLOOKUP($M254,'Lists &amp; Rules'!$L$5:$N$13,3,FALSE),0)+IF($R254="Overdue",-10,IF($R254="Today",5,0))+MIN(15,$Z254*3))))</x:f>
      </x:c>
      <x:c r="P254" s="71" t="str">
        <x:f>IF($A254="","",IF(COUNTIF('Activity Log'!$C$6:$C$1005,$A254)=0,"",MAXIFS('Activity Log'!$B$6:$B$1005,'Activity Log'!$C$6:$C$1005,$A254)))</x:f>
      </x:c>
      <x:c r="Q254" s="71" t="str">
        <x:f>IF($A254="","",IF(COUNTIFS('Activity Log'!$C$6:$C$1005,$A254,'Activity Log'!$J$6:$J$1005,"No",'Activity Log'!$I$6:$I$1005,"&gt;0")=0,"",MINIFS('Activity Log'!$I$6:$I$1005,'Activity Log'!$C$6:$C$1005,$A254,'Activity Log'!$J$6:$J$1005,"No",'Activity Log'!$I$6:$I$1005,"&gt;0")))</x:f>
      </x:c>
      <x:c r="R254" s="57" t="str">
        <x:f>IF($C254="","",IF(OR($K254="Won",$K254="Lost",$K254="Disqualified"),"Closed",IF($Q254="","No date",IF(INT($Q254)&lt;TODAY(),"Overdue",IF(INT($Q254)=TODAY(),"Today",IF(INT($Q254)&lt;=TODAY()+7,"Next 7 days","Later"))))))</x:f>
      </x:c>
      <x:c r="S254" s="57" t="str">
        <x:f>IF(OR($C254="",$P254=""),"",TODAY()-INT($P254))</x:f>
      </x:c>
      <x:c r="T254" s="54"/>
      <x:c r="U254" s="54"/>
      <x:c r="V254" s="63"/>
      <x:c r="W254" s="74"/>
      <x:c r="X254" s="77" t="str">
        <x:f>IF($C254="","",IFERROR(VLOOKUP($M254,'Lists &amp; Rules'!$L$5:$N$13,2,FALSE),0))</x:f>
      </x:c>
      <x:c r="Y254" s="80" t="str">
        <x:f>IF(OR($C254="",$W254=""),"",ROUND($W254*$X254,0))</x:f>
      </x:c>
      <x:c r="Z254" s="57" t="str">
        <x:f>IF($A254="","",COUNTIF('Activity Log'!$C$6:$C$1005,$A254))</x:f>
      </x:c>
      <x:c r="AA254" s="68"/>
      <x:c r="AB254" s="63"/>
    </x:row>
    <x:row r="255">
      <x:c r="A255" s="54"/>
      <x:c r="B255" s="68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  <x:c r="M255" s="54"/>
      <x:c r="N255" s="54"/>
      <x:c r="O255" s="57" t="str">
        <x:f>IF($C255="","",MAX(0,MIN(100,IFERROR(VLOOKUP($L255,'Lists &amp; Rules'!$P$5:$Q$8,2,FALSE),0)+IFERROR(VLOOKUP($N255,'Lists &amp; Rules'!$S$5:$T$7,2,FALSE),0)+IFERROR(VLOOKUP($M255,'Lists &amp; Rules'!$L$5:$N$13,3,FALSE),0)+IF($R255="Overdue",-10,IF($R255="Today",5,0))+MIN(15,$Z255*3))))</x:f>
      </x:c>
      <x:c r="P255" s="71" t="str">
        <x:f>IF($A255="","",IF(COUNTIF('Activity Log'!$C$6:$C$1005,$A255)=0,"",MAXIFS('Activity Log'!$B$6:$B$1005,'Activity Log'!$C$6:$C$1005,$A255)))</x:f>
      </x:c>
      <x:c r="Q255" s="71" t="str">
        <x:f>IF($A255="","",IF(COUNTIFS('Activity Log'!$C$6:$C$1005,$A255,'Activity Log'!$J$6:$J$1005,"No",'Activity Log'!$I$6:$I$1005,"&gt;0")=0,"",MINIFS('Activity Log'!$I$6:$I$1005,'Activity Log'!$C$6:$C$1005,$A255,'Activity Log'!$J$6:$J$1005,"No",'Activity Log'!$I$6:$I$1005,"&gt;0")))</x:f>
      </x:c>
      <x:c r="R255" s="57" t="str">
        <x:f>IF($C255="","",IF(OR($K255="Won",$K255="Lost",$K255="Disqualified"),"Closed",IF($Q255="","No date",IF(INT($Q255)&lt;TODAY(),"Overdue",IF(INT($Q255)=TODAY(),"Today",IF(INT($Q255)&lt;=TODAY()+7,"Next 7 days","Later"))))))</x:f>
      </x:c>
      <x:c r="S255" s="57" t="str">
        <x:f>IF(OR($C255="",$P255=""),"",TODAY()-INT($P255))</x:f>
      </x:c>
      <x:c r="T255" s="54"/>
      <x:c r="U255" s="54"/>
      <x:c r="V255" s="63"/>
      <x:c r="W255" s="74"/>
      <x:c r="X255" s="77" t="str">
        <x:f>IF($C255="","",IFERROR(VLOOKUP($M255,'Lists &amp; Rules'!$L$5:$N$13,2,FALSE),0))</x:f>
      </x:c>
      <x:c r="Y255" s="80" t="str">
        <x:f>IF(OR($C255="",$W255=""),"",ROUND($W255*$X255,0))</x:f>
      </x:c>
      <x:c r="Z255" s="57" t="str">
        <x:f>IF($A255="","",COUNTIF('Activity Log'!$C$6:$C$1005,$A255))</x:f>
      </x:c>
      <x:c r="AA255" s="68"/>
      <x:c r="AB255" s="63"/>
    </x:row>
    <x:row r="256">
      <x:c r="A256" s="54"/>
      <x:c r="B256" s="68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  <x:c r="M256" s="54"/>
      <x:c r="N256" s="54"/>
      <x:c r="O256" s="57" t="str">
        <x:f>IF($C256="","",MAX(0,MIN(100,IFERROR(VLOOKUP($L256,'Lists &amp; Rules'!$P$5:$Q$8,2,FALSE),0)+IFERROR(VLOOKUP($N256,'Lists &amp; Rules'!$S$5:$T$7,2,FALSE),0)+IFERROR(VLOOKUP($M256,'Lists &amp; Rules'!$L$5:$N$13,3,FALSE),0)+IF($R256="Overdue",-10,IF($R256="Today",5,0))+MIN(15,$Z256*3))))</x:f>
      </x:c>
      <x:c r="P256" s="71" t="str">
        <x:f>IF($A256="","",IF(COUNTIF('Activity Log'!$C$6:$C$1005,$A256)=0,"",MAXIFS('Activity Log'!$B$6:$B$1005,'Activity Log'!$C$6:$C$1005,$A256)))</x:f>
      </x:c>
      <x:c r="Q256" s="71" t="str">
        <x:f>IF($A256="","",IF(COUNTIFS('Activity Log'!$C$6:$C$1005,$A256,'Activity Log'!$J$6:$J$1005,"No",'Activity Log'!$I$6:$I$1005,"&gt;0")=0,"",MINIFS('Activity Log'!$I$6:$I$1005,'Activity Log'!$C$6:$C$1005,$A256,'Activity Log'!$J$6:$J$1005,"No",'Activity Log'!$I$6:$I$1005,"&gt;0")))</x:f>
      </x:c>
      <x:c r="R256" s="57" t="str">
        <x:f>IF($C256="","",IF(OR($K256="Won",$K256="Lost",$K256="Disqualified"),"Closed",IF($Q256="","No date",IF(INT($Q256)&lt;TODAY(),"Overdue",IF(INT($Q256)=TODAY(),"Today",IF(INT($Q256)&lt;=TODAY()+7,"Next 7 days","Later"))))))</x:f>
      </x:c>
      <x:c r="S256" s="57" t="str">
        <x:f>IF(OR($C256="",$P256=""),"",TODAY()-INT($P256))</x:f>
      </x:c>
      <x:c r="T256" s="54"/>
      <x:c r="U256" s="54"/>
      <x:c r="V256" s="63"/>
      <x:c r="W256" s="74"/>
      <x:c r="X256" s="77" t="str">
        <x:f>IF($C256="","",IFERROR(VLOOKUP($M256,'Lists &amp; Rules'!$L$5:$N$13,2,FALSE),0))</x:f>
      </x:c>
      <x:c r="Y256" s="80" t="str">
        <x:f>IF(OR($C256="",$W256=""),"",ROUND($W256*$X256,0))</x:f>
      </x:c>
      <x:c r="Z256" s="57" t="str">
        <x:f>IF($A256="","",COUNTIF('Activity Log'!$C$6:$C$1005,$A256))</x:f>
      </x:c>
      <x:c r="AA256" s="68"/>
      <x:c r="AB256" s="63"/>
    </x:row>
    <x:row r="257">
      <x:c r="A257" s="54"/>
      <x:c r="B257" s="68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  <x:c r="M257" s="54"/>
      <x:c r="N257" s="54"/>
      <x:c r="O257" s="57" t="str">
        <x:f>IF($C257="","",MAX(0,MIN(100,IFERROR(VLOOKUP($L257,'Lists &amp; Rules'!$P$5:$Q$8,2,FALSE),0)+IFERROR(VLOOKUP($N257,'Lists &amp; Rules'!$S$5:$T$7,2,FALSE),0)+IFERROR(VLOOKUP($M257,'Lists &amp; Rules'!$L$5:$N$13,3,FALSE),0)+IF($R257="Overdue",-10,IF($R257="Today",5,0))+MIN(15,$Z257*3))))</x:f>
      </x:c>
      <x:c r="P257" s="71" t="str">
        <x:f>IF($A257="","",IF(COUNTIF('Activity Log'!$C$6:$C$1005,$A257)=0,"",MAXIFS('Activity Log'!$B$6:$B$1005,'Activity Log'!$C$6:$C$1005,$A257)))</x:f>
      </x:c>
      <x:c r="Q257" s="71" t="str">
        <x:f>IF($A257="","",IF(COUNTIFS('Activity Log'!$C$6:$C$1005,$A257,'Activity Log'!$J$6:$J$1005,"No",'Activity Log'!$I$6:$I$1005,"&gt;0")=0,"",MINIFS('Activity Log'!$I$6:$I$1005,'Activity Log'!$C$6:$C$1005,$A257,'Activity Log'!$J$6:$J$1005,"No",'Activity Log'!$I$6:$I$1005,"&gt;0")))</x:f>
      </x:c>
      <x:c r="R257" s="57" t="str">
        <x:f>IF($C257="","",IF(OR($K257="Won",$K257="Lost",$K257="Disqualified"),"Closed",IF($Q257="","No date",IF(INT($Q257)&lt;TODAY(),"Overdue",IF(INT($Q257)=TODAY(),"Today",IF(INT($Q257)&lt;=TODAY()+7,"Next 7 days","Later"))))))</x:f>
      </x:c>
      <x:c r="S257" s="57" t="str">
        <x:f>IF(OR($C257="",$P257=""),"",TODAY()-INT($P257))</x:f>
      </x:c>
      <x:c r="T257" s="54"/>
      <x:c r="U257" s="54"/>
      <x:c r="V257" s="63"/>
      <x:c r="W257" s="74"/>
      <x:c r="X257" s="77" t="str">
        <x:f>IF($C257="","",IFERROR(VLOOKUP($M257,'Lists &amp; Rules'!$L$5:$N$13,2,FALSE),0))</x:f>
      </x:c>
      <x:c r="Y257" s="80" t="str">
        <x:f>IF(OR($C257="",$W257=""),"",ROUND($W257*$X257,0))</x:f>
      </x:c>
      <x:c r="Z257" s="57" t="str">
        <x:f>IF($A257="","",COUNTIF('Activity Log'!$C$6:$C$1005,$A257))</x:f>
      </x:c>
      <x:c r="AA257" s="68"/>
      <x:c r="AB257" s="63"/>
    </x:row>
    <x:row r="258">
      <x:c r="A258" s="54"/>
      <x:c r="B258" s="68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  <x:c r="M258" s="54"/>
      <x:c r="N258" s="54"/>
      <x:c r="O258" s="57" t="str">
        <x:f>IF($C258="","",MAX(0,MIN(100,IFERROR(VLOOKUP($L258,'Lists &amp; Rules'!$P$5:$Q$8,2,FALSE),0)+IFERROR(VLOOKUP($N258,'Lists &amp; Rules'!$S$5:$T$7,2,FALSE),0)+IFERROR(VLOOKUP($M258,'Lists &amp; Rules'!$L$5:$N$13,3,FALSE),0)+IF($R258="Overdue",-10,IF($R258="Today",5,0))+MIN(15,$Z258*3))))</x:f>
      </x:c>
      <x:c r="P258" s="71" t="str">
        <x:f>IF($A258="","",IF(COUNTIF('Activity Log'!$C$6:$C$1005,$A258)=0,"",MAXIFS('Activity Log'!$B$6:$B$1005,'Activity Log'!$C$6:$C$1005,$A258)))</x:f>
      </x:c>
      <x:c r="Q258" s="71" t="str">
        <x:f>IF($A258="","",IF(COUNTIFS('Activity Log'!$C$6:$C$1005,$A258,'Activity Log'!$J$6:$J$1005,"No",'Activity Log'!$I$6:$I$1005,"&gt;0")=0,"",MINIFS('Activity Log'!$I$6:$I$1005,'Activity Log'!$C$6:$C$1005,$A258,'Activity Log'!$J$6:$J$1005,"No",'Activity Log'!$I$6:$I$1005,"&gt;0")))</x:f>
      </x:c>
      <x:c r="R258" s="57" t="str">
        <x:f>IF($C258="","",IF(OR($K258="Won",$K258="Lost",$K258="Disqualified"),"Closed",IF($Q258="","No date",IF(INT($Q258)&lt;TODAY(),"Overdue",IF(INT($Q258)=TODAY(),"Today",IF(INT($Q258)&lt;=TODAY()+7,"Next 7 days","Later"))))))</x:f>
      </x:c>
      <x:c r="S258" s="57" t="str">
        <x:f>IF(OR($C258="",$P258=""),"",TODAY()-INT($P258))</x:f>
      </x:c>
      <x:c r="T258" s="54"/>
      <x:c r="U258" s="54"/>
      <x:c r="V258" s="63"/>
      <x:c r="W258" s="74"/>
      <x:c r="X258" s="77" t="str">
        <x:f>IF($C258="","",IFERROR(VLOOKUP($M258,'Lists &amp; Rules'!$L$5:$N$13,2,FALSE),0))</x:f>
      </x:c>
      <x:c r="Y258" s="80" t="str">
        <x:f>IF(OR($C258="",$W258=""),"",ROUND($W258*$X258,0))</x:f>
      </x:c>
      <x:c r="Z258" s="57" t="str">
        <x:f>IF($A258="","",COUNTIF('Activity Log'!$C$6:$C$1005,$A258))</x:f>
      </x:c>
      <x:c r="AA258" s="68"/>
      <x:c r="AB258" s="63"/>
    </x:row>
    <x:row r="259">
      <x:c r="A259" s="54"/>
      <x:c r="B259" s="68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  <x:c r="M259" s="54"/>
      <x:c r="N259" s="54"/>
      <x:c r="O259" s="57" t="str">
        <x:f>IF($C259="","",MAX(0,MIN(100,IFERROR(VLOOKUP($L259,'Lists &amp; Rules'!$P$5:$Q$8,2,FALSE),0)+IFERROR(VLOOKUP($N259,'Lists &amp; Rules'!$S$5:$T$7,2,FALSE),0)+IFERROR(VLOOKUP($M259,'Lists &amp; Rules'!$L$5:$N$13,3,FALSE),0)+IF($R259="Overdue",-10,IF($R259="Today",5,0))+MIN(15,$Z259*3))))</x:f>
      </x:c>
      <x:c r="P259" s="71" t="str">
        <x:f>IF($A259="","",IF(COUNTIF('Activity Log'!$C$6:$C$1005,$A259)=0,"",MAXIFS('Activity Log'!$B$6:$B$1005,'Activity Log'!$C$6:$C$1005,$A259)))</x:f>
      </x:c>
      <x:c r="Q259" s="71" t="str">
        <x:f>IF($A259="","",IF(COUNTIFS('Activity Log'!$C$6:$C$1005,$A259,'Activity Log'!$J$6:$J$1005,"No",'Activity Log'!$I$6:$I$1005,"&gt;0")=0,"",MINIFS('Activity Log'!$I$6:$I$1005,'Activity Log'!$C$6:$C$1005,$A259,'Activity Log'!$J$6:$J$1005,"No",'Activity Log'!$I$6:$I$1005,"&gt;0")))</x:f>
      </x:c>
      <x:c r="R259" s="57" t="str">
        <x:f>IF($C259="","",IF(OR($K259="Won",$K259="Lost",$K259="Disqualified"),"Closed",IF($Q259="","No date",IF(INT($Q259)&lt;TODAY(),"Overdue",IF(INT($Q259)=TODAY(),"Today",IF(INT($Q259)&lt;=TODAY()+7,"Next 7 days","Later"))))))</x:f>
      </x:c>
      <x:c r="S259" s="57" t="str">
        <x:f>IF(OR($C259="",$P259=""),"",TODAY()-INT($P259))</x:f>
      </x:c>
      <x:c r="T259" s="54"/>
      <x:c r="U259" s="54"/>
      <x:c r="V259" s="63"/>
      <x:c r="W259" s="74"/>
      <x:c r="X259" s="77" t="str">
        <x:f>IF($C259="","",IFERROR(VLOOKUP($M259,'Lists &amp; Rules'!$L$5:$N$13,2,FALSE),0))</x:f>
      </x:c>
      <x:c r="Y259" s="80" t="str">
        <x:f>IF(OR($C259="",$W259=""),"",ROUND($W259*$X259,0))</x:f>
      </x:c>
      <x:c r="Z259" s="57" t="str">
        <x:f>IF($A259="","",COUNTIF('Activity Log'!$C$6:$C$1005,$A259))</x:f>
      </x:c>
      <x:c r="AA259" s="68"/>
      <x:c r="AB259" s="63"/>
    </x:row>
    <x:row r="260">
      <x:c r="A260" s="54"/>
      <x:c r="B260" s="68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  <x:c r="M260" s="54"/>
      <x:c r="N260" s="54"/>
      <x:c r="O260" s="57" t="str">
        <x:f>IF($C260="","",MAX(0,MIN(100,IFERROR(VLOOKUP($L260,'Lists &amp; Rules'!$P$5:$Q$8,2,FALSE),0)+IFERROR(VLOOKUP($N260,'Lists &amp; Rules'!$S$5:$T$7,2,FALSE),0)+IFERROR(VLOOKUP($M260,'Lists &amp; Rules'!$L$5:$N$13,3,FALSE),0)+IF($R260="Overdue",-10,IF($R260="Today",5,0))+MIN(15,$Z260*3))))</x:f>
      </x:c>
      <x:c r="P260" s="71" t="str">
        <x:f>IF($A260="","",IF(COUNTIF('Activity Log'!$C$6:$C$1005,$A260)=0,"",MAXIFS('Activity Log'!$B$6:$B$1005,'Activity Log'!$C$6:$C$1005,$A260)))</x:f>
      </x:c>
      <x:c r="Q260" s="71" t="str">
        <x:f>IF($A260="","",IF(COUNTIFS('Activity Log'!$C$6:$C$1005,$A260,'Activity Log'!$J$6:$J$1005,"No",'Activity Log'!$I$6:$I$1005,"&gt;0")=0,"",MINIFS('Activity Log'!$I$6:$I$1005,'Activity Log'!$C$6:$C$1005,$A260,'Activity Log'!$J$6:$J$1005,"No",'Activity Log'!$I$6:$I$1005,"&gt;0")))</x:f>
      </x:c>
      <x:c r="R260" s="57" t="str">
        <x:f>IF($C260="","",IF(OR($K260="Won",$K260="Lost",$K260="Disqualified"),"Closed",IF($Q260="","No date",IF(INT($Q260)&lt;TODAY(),"Overdue",IF(INT($Q260)=TODAY(),"Today",IF(INT($Q260)&lt;=TODAY()+7,"Next 7 days","Later"))))))</x:f>
      </x:c>
      <x:c r="S260" s="57" t="str">
        <x:f>IF(OR($C260="",$P260=""),"",TODAY()-INT($P260))</x:f>
      </x:c>
      <x:c r="T260" s="54"/>
      <x:c r="U260" s="54"/>
      <x:c r="V260" s="63"/>
      <x:c r="W260" s="74"/>
      <x:c r="X260" s="77" t="str">
        <x:f>IF($C260="","",IFERROR(VLOOKUP($M260,'Lists &amp; Rules'!$L$5:$N$13,2,FALSE),0))</x:f>
      </x:c>
      <x:c r="Y260" s="80" t="str">
        <x:f>IF(OR($C260="",$W260=""),"",ROUND($W260*$X260,0))</x:f>
      </x:c>
      <x:c r="Z260" s="57" t="str">
        <x:f>IF($A260="","",COUNTIF('Activity Log'!$C$6:$C$1005,$A260))</x:f>
      </x:c>
      <x:c r="AA260" s="68"/>
      <x:c r="AB260" s="63"/>
    </x:row>
    <x:row r="261">
      <x:c r="A261" s="54"/>
      <x:c r="B261" s="68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  <x:c r="M261" s="54"/>
      <x:c r="N261" s="54"/>
      <x:c r="O261" s="57" t="str">
        <x:f>IF($C261="","",MAX(0,MIN(100,IFERROR(VLOOKUP($L261,'Lists &amp; Rules'!$P$5:$Q$8,2,FALSE),0)+IFERROR(VLOOKUP($N261,'Lists &amp; Rules'!$S$5:$T$7,2,FALSE),0)+IFERROR(VLOOKUP($M261,'Lists &amp; Rules'!$L$5:$N$13,3,FALSE),0)+IF($R261="Overdue",-10,IF($R261="Today",5,0))+MIN(15,$Z261*3))))</x:f>
      </x:c>
      <x:c r="P261" s="71" t="str">
        <x:f>IF($A261="","",IF(COUNTIF('Activity Log'!$C$6:$C$1005,$A261)=0,"",MAXIFS('Activity Log'!$B$6:$B$1005,'Activity Log'!$C$6:$C$1005,$A261)))</x:f>
      </x:c>
      <x:c r="Q261" s="71" t="str">
        <x:f>IF($A261="","",IF(COUNTIFS('Activity Log'!$C$6:$C$1005,$A261,'Activity Log'!$J$6:$J$1005,"No",'Activity Log'!$I$6:$I$1005,"&gt;0")=0,"",MINIFS('Activity Log'!$I$6:$I$1005,'Activity Log'!$C$6:$C$1005,$A261,'Activity Log'!$J$6:$J$1005,"No",'Activity Log'!$I$6:$I$1005,"&gt;0")))</x:f>
      </x:c>
      <x:c r="R261" s="57" t="str">
        <x:f>IF($C261="","",IF(OR($K261="Won",$K261="Lost",$K261="Disqualified"),"Closed",IF($Q261="","No date",IF(INT($Q261)&lt;TODAY(),"Overdue",IF(INT($Q261)=TODAY(),"Today",IF(INT($Q261)&lt;=TODAY()+7,"Next 7 days","Later"))))))</x:f>
      </x:c>
      <x:c r="S261" s="57" t="str">
        <x:f>IF(OR($C261="",$P261=""),"",TODAY()-INT($P261))</x:f>
      </x:c>
      <x:c r="T261" s="54"/>
      <x:c r="U261" s="54"/>
      <x:c r="V261" s="63"/>
      <x:c r="W261" s="74"/>
      <x:c r="X261" s="77" t="str">
        <x:f>IF($C261="","",IFERROR(VLOOKUP($M261,'Lists &amp; Rules'!$L$5:$N$13,2,FALSE),0))</x:f>
      </x:c>
      <x:c r="Y261" s="80" t="str">
        <x:f>IF(OR($C261="",$W261=""),"",ROUND($W261*$X261,0))</x:f>
      </x:c>
      <x:c r="Z261" s="57" t="str">
        <x:f>IF($A261="","",COUNTIF('Activity Log'!$C$6:$C$1005,$A261))</x:f>
      </x:c>
      <x:c r="AA261" s="68"/>
      <x:c r="AB261" s="63"/>
    </x:row>
    <x:row r="262">
      <x:c r="A262" s="54"/>
      <x:c r="B262" s="68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  <x:c r="M262" s="54"/>
      <x:c r="N262" s="54"/>
      <x:c r="O262" s="57" t="str">
        <x:f>IF($C262="","",MAX(0,MIN(100,IFERROR(VLOOKUP($L262,'Lists &amp; Rules'!$P$5:$Q$8,2,FALSE),0)+IFERROR(VLOOKUP($N262,'Lists &amp; Rules'!$S$5:$T$7,2,FALSE),0)+IFERROR(VLOOKUP($M262,'Lists &amp; Rules'!$L$5:$N$13,3,FALSE),0)+IF($R262="Overdue",-10,IF($R262="Today",5,0))+MIN(15,$Z262*3))))</x:f>
      </x:c>
      <x:c r="P262" s="71" t="str">
        <x:f>IF($A262="","",IF(COUNTIF('Activity Log'!$C$6:$C$1005,$A262)=0,"",MAXIFS('Activity Log'!$B$6:$B$1005,'Activity Log'!$C$6:$C$1005,$A262)))</x:f>
      </x:c>
      <x:c r="Q262" s="71" t="str">
        <x:f>IF($A262="","",IF(COUNTIFS('Activity Log'!$C$6:$C$1005,$A262,'Activity Log'!$J$6:$J$1005,"No",'Activity Log'!$I$6:$I$1005,"&gt;0")=0,"",MINIFS('Activity Log'!$I$6:$I$1005,'Activity Log'!$C$6:$C$1005,$A262,'Activity Log'!$J$6:$J$1005,"No",'Activity Log'!$I$6:$I$1005,"&gt;0")))</x:f>
      </x:c>
      <x:c r="R262" s="57" t="str">
        <x:f>IF($C262="","",IF(OR($K262="Won",$K262="Lost",$K262="Disqualified"),"Closed",IF($Q262="","No date",IF(INT($Q262)&lt;TODAY(),"Overdue",IF(INT($Q262)=TODAY(),"Today",IF(INT($Q262)&lt;=TODAY()+7,"Next 7 days","Later"))))))</x:f>
      </x:c>
      <x:c r="S262" s="57" t="str">
        <x:f>IF(OR($C262="",$P262=""),"",TODAY()-INT($P262))</x:f>
      </x:c>
      <x:c r="T262" s="54"/>
      <x:c r="U262" s="54"/>
      <x:c r="V262" s="63"/>
      <x:c r="W262" s="74"/>
      <x:c r="X262" s="77" t="str">
        <x:f>IF($C262="","",IFERROR(VLOOKUP($M262,'Lists &amp; Rules'!$L$5:$N$13,2,FALSE),0))</x:f>
      </x:c>
      <x:c r="Y262" s="80" t="str">
        <x:f>IF(OR($C262="",$W262=""),"",ROUND($W262*$X262,0))</x:f>
      </x:c>
      <x:c r="Z262" s="57" t="str">
        <x:f>IF($A262="","",COUNTIF('Activity Log'!$C$6:$C$1005,$A262))</x:f>
      </x:c>
      <x:c r="AA262" s="68"/>
      <x:c r="AB262" s="63"/>
    </x:row>
    <x:row r="263">
      <x:c r="A263" s="54"/>
      <x:c r="B263" s="68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  <x:c r="M263" s="54"/>
      <x:c r="N263" s="54"/>
      <x:c r="O263" s="57" t="str">
        <x:f>IF($C263="","",MAX(0,MIN(100,IFERROR(VLOOKUP($L263,'Lists &amp; Rules'!$P$5:$Q$8,2,FALSE),0)+IFERROR(VLOOKUP($N263,'Lists &amp; Rules'!$S$5:$T$7,2,FALSE),0)+IFERROR(VLOOKUP($M263,'Lists &amp; Rules'!$L$5:$N$13,3,FALSE),0)+IF($R263="Overdue",-10,IF($R263="Today",5,0))+MIN(15,$Z263*3))))</x:f>
      </x:c>
      <x:c r="P263" s="71" t="str">
        <x:f>IF($A263="","",IF(COUNTIF('Activity Log'!$C$6:$C$1005,$A263)=0,"",MAXIFS('Activity Log'!$B$6:$B$1005,'Activity Log'!$C$6:$C$1005,$A263)))</x:f>
      </x:c>
      <x:c r="Q263" s="71" t="str">
        <x:f>IF($A263="","",IF(COUNTIFS('Activity Log'!$C$6:$C$1005,$A263,'Activity Log'!$J$6:$J$1005,"No",'Activity Log'!$I$6:$I$1005,"&gt;0")=0,"",MINIFS('Activity Log'!$I$6:$I$1005,'Activity Log'!$C$6:$C$1005,$A263,'Activity Log'!$J$6:$J$1005,"No",'Activity Log'!$I$6:$I$1005,"&gt;0")))</x:f>
      </x:c>
      <x:c r="R263" s="57" t="str">
        <x:f>IF($C263="","",IF(OR($K263="Won",$K263="Lost",$K263="Disqualified"),"Closed",IF($Q263="","No date",IF(INT($Q263)&lt;TODAY(),"Overdue",IF(INT($Q263)=TODAY(),"Today",IF(INT($Q263)&lt;=TODAY()+7,"Next 7 days","Later"))))))</x:f>
      </x:c>
      <x:c r="S263" s="57" t="str">
        <x:f>IF(OR($C263="",$P263=""),"",TODAY()-INT($P263))</x:f>
      </x:c>
      <x:c r="T263" s="54"/>
      <x:c r="U263" s="54"/>
      <x:c r="V263" s="63"/>
      <x:c r="W263" s="74"/>
      <x:c r="X263" s="77" t="str">
        <x:f>IF($C263="","",IFERROR(VLOOKUP($M263,'Lists &amp; Rules'!$L$5:$N$13,2,FALSE),0))</x:f>
      </x:c>
      <x:c r="Y263" s="80" t="str">
        <x:f>IF(OR($C263="",$W263=""),"",ROUND($W263*$X263,0))</x:f>
      </x:c>
      <x:c r="Z263" s="57" t="str">
        <x:f>IF($A263="","",COUNTIF('Activity Log'!$C$6:$C$1005,$A263))</x:f>
      </x:c>
      <x:c r="AA263" s="68"/>
      <x:c r="AB263" s="63"/>
    </x:row>
    <x:row r="264">
      <x:c r="A264" s="54"/>
      <x:c r="B264" s="68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  <x:c r="M264" s="54"/>
      <x:c r="N264" s="54"/>
      <x:c r="O264" s="57" t="str">
        <x:f>IF($C264="","",MAX(0,MIN(100,IFERROR(VLOOKUP($L264,'Lists &amp; Rules'!$P$5:$Q$8,2,FALSE),0)+IFERROR(VLOOKUP($N264,'Lists &amp; Rules'!$S$5:$T$7,2,FALSE),0)+IFERROR(VLOOKUP($M264,'Lists &amp; Rules'!$L$5:$N$13,3,FALSE),0)+IF($R264="Overdue",-10,IF($R264="Today",5,0))+MIN(15,$Z264*3))))</x:f>
      </x:c>
      <x:c r="P264" s="71" t="str">
        <x:f>IF($A264="","",IF(COUNTIF('Activity Log'!$C$6:$C$1005,$A264)=0,"",MAXIFS('Activity Log'!$B$6:$B$1005,'Activity Log'!$C$6:$C$1005,$A264)))</x:f>
      </x:c>
      <x:c r="Q264" s="71" t="str">
        <x:f>IF($A264="","",IF(COUNTIFS('Activity Log'!$C$6:$C$1005,$A264,'Activity Log'!$J$6:$J$1005,"No",'Activity Log'!$I$6:$I$1005,"&gt;0")=0,"",MINIFS('Activity Log'!$I$6:$I$1005,'Activity Log'!$C$6:$C$1005,$A264,'Activity Log'!$J$6:$J$1005,"No",'Activity Log'!$I$6:$I$1005,"&gt;0")))</x:f>
      </x:c>
      <x:c r="R264" s="57" t="str">
        <x:f>IF($C264="","",IF(OR($K264="Won",$K264="Lost",$K264="Disqualified"),"Closed",IF($Q264="","No date",IF(INT($Q264)&lt;TODAY(),"Overdue",IF(INT($Q264)=TODAY(),"Today",IF(INT($Q264)&lt;=TODAY()+7,"Next 7 days","Later"))))))</x:f>
      </x:c>
      <x:c r="S264" s="57" t="str">
        <x:f>IF(OR($C264="",$P264=""),"",TODAY()-INT($P264))</x:f>
      </x:c>
      <x:c r="T264" s="54"/>
      <x:c r="U264" s="54"/>
      <x:c r="V264" s="63"/>
      <x:c r="W264" s="74"/>
      <x:c r="X264" s="77" t="str">
        <x:f>IF($C264="","",IFERROR(VLOOKUP($M264,'Lists &amp; Rules'!$L$5:$N$13,2,FALSE),0))</x:f>
      </x:c>
      <x:c r="Y264" s="80" t="str">
        <x:f>IF(OR($C264="",$W264=""),"",ROUND($W264*$X264,0))</x:f>
      </x:c>
      <x:c r="Z264" s="57" t="str">
        <x:f>IF($A264="","",COUNTIF('Activity Log'!$C$6:$C$1005,$A264))</x:f>
      </x:c>
      <x:c r="AA264" s="68"/>
      <x:c r="AB264" s="63"/>
    </x:row>
    <x:row r="265">
      <x:c r="A265" s="54"/>
      <x:c r="B265" s="68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  <x:c r="M265" s="54"/>
      <x:c r="N265" s="54"/>
      <x:c r="O265" s="57" t="str">
        <x:f>IF($C265="","",MAX(0,MIN(100,IFERROR(VLOOKUP($L265,'Lists &amp; Rules'!$P$5:$Q$8,2,FALSE),0)+IFERROR(VLOOKUP($N265,'Lists &amp; Rules'!$S$5:$T$7,2,FALSE),0)+IFERROR(VLOOKUP($M265,'Lists &amp; Rules'!$L$5:$N$13,3,FALSE),0)+IF($R265="Overdue",-10,IF($R265="Today",5,0))+MIN(15,$Z265*3))))</x:f>
      </x:c>
      <x:c r="P265" s="71" t="str">
        <x:f>IF($A265="","",IF(COUNTIF('Activity Log'!$C$6:$C$1005,$A265)=0,"",MAXIFS('Activity Log'!$B$6:$B$1005,'Activity Log'!$C$6:$C$1005,$A265)))</x:f>
      </x:c>
      <x:c r="Q265" s="71" t="str">
        <x:f>IF($A265="","",IF(COUNTIFS('Activity Log'!$C$6:$C$1005,$A265,'Activity Log'!$J$6:$J$1005,"No",'Activity Log'!$I$6:$I$1005,"&gt;0")=0,"",MINIFS('Activity Log'!$I$6:$I$1005,'Activity Log'!$C$6:$C$1005,$A265,'Activity Log'!$J$6:$J$1005,"No",'Activity Log'!$I$6:$I$1005,"&gt;0")))</x:f>
      </x:c>
      <x:c r="R265" s="57" t="str">
        <x:f>IF($C265="","",IF(OR($K265="Won",$K265="Lost",$K265="Disqualified"),"Closed",IF($Q265="","No date",IF(INT($Q265)&lt;TODAY(),"Overdue",IF(INT($Q265)=TODAY(),"Today",IF(INT($Q265)&lt;=TODAY()+7,"Next 7 days","Later"))))))</x:f>
      </x:c>
      <x:c r="S265" s="57" t="str">
        <x:f>IF(OR($C265="",$P265=""),"",TODAY()-INT($P265))</x:f>
      </x:c>
      <x:c r="T265" s="54"/>
      <x:c r="U265" s="54"/>
      <x:c r="V265" s="63"/>
      <x:c r="W265" s="74"/>
      <x:c r="X265" s="77" t="str">
        <x:f>IF($C265="","",IFERROR(VLOOKUP($M265,'Lists &amp; Rules'!$L$5:$N$13,2,FALSE),0))</x:f>
      </x:c>
      <x:c r="Y265" s="80" t="str">
        <x:f>IF(OR($C265="",$W265=""),"",ROUND($W265*$X265,0))</x:f>
      </x:c>
      <x:c r="Z265" s="57" t="str">
        <x:f>IF($A265="","",COUNTIF('Activity Log'!$C$6:$C$1005,$A265))</x:f>
      </x:c>
      <x:c r="AA265" s="68"/>
      <x:c r="AB265" s="63"/>
    </x:row>
    <x:row r="266">
      <x:c r="A266" s="54"/>
      <x:c r="B266" s="68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  <x:c r="M266" s="54"/>
      <x:c r="N266" s="54"/>
      <x:c r="O266" s="57" t="str">
        <x:f>IF($C266="","",MAX(0,MIN(100,IFERROR(VLOOKUP($L266,'Lists &amp; Rules'!$P$5:$Q$8,2,FALSE),0)+IFERROR(VLOOKUP($N266,'Lists &amp; Rules'!$S$5:$T$7,2,FALSE),0)+IFERROR(VLOOKUP($M266,'Lists &amp; Rules'!$L$5:$N$13,3,FALSE),0)+IF($R266="Overdue",-10,IF($R266="Today",5,0))+MIN(15,$Z266*3))))</x:f>
      </x:c>
      <x:c r="P266" s="71" t="str">
        <x:f>IF($A266="","",IF(COUNTIF('Activity Log'!$C$6:$C$1005,$A266)=0,"",MAXIFS('Activity Log'!$B$6:$B$1005,'Activity Log'!$C$6:$C$1005,$A266)))</x:f>
      </x:c>
      <x:c r="Q266" s="71" t="str">
        <x:f>IF($A266="","",IF(COUNTIFS('Activity Log'!$C$6:$C$1005,$A266,'Activity Log'!$J$6:$J$1005,"No",'Activity Log'!$I$6:$I$1005,"&gt;0")=0,"",MINIFS('Activity Log'!$I$6:$I$1005,'Activity Log'!$C$6:$C$1005,$A266,'Activity Log'!$J$6:$J$1005,"No",'Activity Log'!$I$6:$I$1005,"&gt;0")))</x:f>
      </x:c>
      <x:c r="R266" s="57" t="str">
        <x:f>IF($C266="","",IF(OR($K266="Won",$K266="Lost",$K266="Disqualified"),"Closed",IF($Q266="","No date",IF(INT($Q266)&lt;TODAY(),"Overdue",IF(INT($Q266)=TODAY(),"Today",IF(INT($Q266)&lt;=TODAY()+7,"Next 7 days","Later"))))))</x:f>
      </x:c>
      <x:c r="S266" s="57" t="str">
        <x:f>IF(OR($C266="",$P266=""),"",TODAY()-INT($P266))</x:f>
      </x:c>
      <x:c r="T266" s="54"/>
      <x:c r="U266" s="54"/>
      <x:c r="V266" s="63"/>
      <x:c r="W266" s="74"/>
      <x:c r="X266" s="77" t="str">
        <x:f>IF($C266="","",IFERROR(VLOOKUP($M266,'Lists &amp; Rules'!$L$5:$N$13,2,FALSE),0))</x:f>
      </x:c>
      <x:c r="Y266" s="80" t="str">
        <x:f>IF(OR($C266="",$W266=""),"",ROUND($W266*$X266,0))</x:f>
      </x:c>
      <x:c r="Z266" s="57" t="str">
        <x:f>IF($A266="","",COUNTIF('Activity Log'!$C$6:$C$1005,$A266))</x:f>
      </x:c>
      <x:c r="AA266" s="68"/>
      <x:c r="AB266" s="63"/>
    </x:row>
    <x:row r="267">
      <x:c r="A267" s="54"/>
      <x:c r="B267" s="68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  <x:c r="M267" s="54"/>
      <x:c r="N267" s="54"/>
      <x:c r="O267" s="57" t="str">
        <x:f>IF($C267="","",MAX(0,MIN(100,IFERROR(VLOOKUP($L267,'Lists &amp; Rules'!$P$5:$Q$8,2,FALSE),0)+IFERROR(VLOOKUP($N267,'Lists &amp; Rules'!$S$5:$T$7,2,FALSE),0)+IFERROR(VLOOKUP($M267,'Lists &amp; Rules'!$L$5:$N$13,3,FALSE),0)+IF($R267="Overdue",-10,IF($R267="Today",5,0))+MIN(15,$Z267*3))))</x:f>
      </x:c>
      <x:c r="P267" s="71" t="str">
        <x:f>IF($A267="","",IF(COUNTIF('Activity Log'!$C$6:$C$1005,$A267)=0,"",MAXIFS('Activity Log'!$B$6:$B$1005,'Activity Log'!$C$6:$C$1005,$A267)))</x:f>
      </x:c>
      <x:c r="Q267" s="71" t="str">
        <x:f>IF($A267="","",IF(COUNTIFS('Activity Log'!$C$6:$C$1005,$A267,'Activity Log'!$J$6:$J$1005,"No",'Activity Log'!$I$6:$I$1005,"&gt;0")=0,"",MINIFS('Activity Log'!$I$6:$I$1005,'Activity Log'!$C$6:$C$1005,$A267,'Activity Log'!$J$6:$J$1005,"No",'Activity Log'!$I$6:$I$1005,"&gt;0")))</x:f>
      </x:c>
      <x:c r="R267" s="57" t="str">
        <x:f>IF($C267="","",IF(OR($K267="Won",$K267="Lost",$K267="Disqualified"),"Closed",IF($Q267="","No date",IF(INT($Q267)&lt;TODAY(),"Overdue",IF(INT($Q267)=TODAY(),"Today",IF(INT($Q267)&lt;=TODAY()+7,"Next 7 days","Later"))))))</x:f>
      </x:c>
      <x:c r="S267" s="57" t="str">
        <x:f>IF(OR($C267="",$P267=""),"",TODAY()-INT($P267))</x:f>
      </x:c>
      <x:c r="T267" s="54"/>
      <x:c r="U267" s="54"/>
      <x:c r="V267" s="63"/>
      <x:c r="W267" s="74"/>
      <x:c r="X267" s="77" t="str">
        <x:f>IF($C267="","",IFERROR(VLOOKUP($M267,'Lists &amp; Rules'!$L$5:$N$13,2,FALSE),0))</x:f>
      </x:c>
      <x:c r="Y267" s="80" t="str">
        <x:f>IF(OR($C267="",$W267=""),"",ROUND($W267*$X267,0))</x:f>
      </x:c>
      <x:c r="Z267" s="57" t="str">
        <x:f>IF($A267="","",COUNTIF('Activity Log'!$C$6:$C$1005,$A267))</x:f>
      </x:c>
      <x:c r="AA267" s="68"/>
      <x:c r="AB267" s="63"/>
    </x:row>
    <x:row r="268">
      <x:c r="A268" s="54"/>
      <x:c r="B268" s="68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  <x:c r="M268" s="54"/>
      <x:c r="N268" s="54"/>
      <x:c r="O268" s="57" t="str">
        <x:f>IF($C268="","",MAX(0,MIN(100,IFERROR(VLOOKUP($L268,'Lists &amp; Rules'!$P$5:$Q$8,2,FALSE),0)+IFERROR(VLOOKUP($N268,'Lists &amp; Rules'!$S$5:$T$7,2,FALSE),0)+IFERROR(VLOOKUP($M268,'Lists &amp; Rules'!$L$5:$N$13,3,FALSE),0)+IF($R268="Overdue",-10,IF($R268="Today",5,0))+MIN(15,$Z268*3))))</x:f>
      </x:c>
      <x:c r="P268" s="71" t="str">
        <x:f>IF($A268="","",IF(COUNTIF('Activity Log'!$C$6:$C$1005,$A268)=0,"",MAXIFS('Activity Log'!$B$6:$B$1005,'Activity Log'!$C$6:$C$1005,$A268)))</x:f>
      </x:c>
      <x:c r="Q268" s="71" t="str">
        <x:f>IF($A268="","",IF(COUNTIFS('Activity Log'!$C$6:$C$1005,$A268,'Activity Log'!$J$6:$J$1005,"No",'Activity Log'!$I$6:$I$1005,"&gt;0")=0,"",MINIFS('Activity Log'!$I$6:$I$1005,'Activity Log'!$C$6:$C$1005,$A268,'Activity Log'!$J$6:$J$1005,"No",'Activity Log'!$I$6:$I$1005,"&gt;0")))</x:f>
      </x:c>
      <x:c r="R268" s="57" t="str">
        <x:f>IF($C268="","",IF(OR($K268="Won",$K268="Lost",$K268="Disqualified"),"Closed",IF($Q268="","No date",IF(INT($Q268)&lt;TODAY(),"Overdue",IF(INT($Q268)=TODAY(),"Today",IF(INT($Q268)&lt;=TODAY()+7,"Next 7 days","Later"))))))</x:f>
      </x:c>
      <x:c r="S268" s="57" t="str">
        <x:f>IF(OR($C268="",$P268=""),"",TODAY()-INT($P268))</x:f>
      </x:c>
      <x:c r="T268" s="54"/>
      <x:c r="U268" s="54"/>
      <x:c r="V268" s="63"/>
      <x:c r="W268" s="74"/>
      <x:c r="X268" s="77" t="str">
        <x:f>IF($C268="","",IFERROR(VLOOKUP($M268,'Lists &amp; Rules'!$L$5:$N$13,2,FALSE),0))</x:f>
      </x:c>
      <x:c r="Y268" s="80" t="str">
        <x:f>IF(OR($C268="",$W268=""),"",ROUND($W268*$X268,0))</x:f>
      </x:c>
      <x:c r="Z268" s="57" t="str">
        <x:f>IF($A268="","",COUNTIF('Activity Log'!$C$6:$C$1005,$A268))</x:f>
      </x:c>
      <x:c r="AA268" s="68"/>
      <x:c r="AB268" s="63"/>
    </x:row>
    <x:row r="269">
      <x:c r="A269" s="54"/>
      <x:c r="B269" s="68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  <x:c r="M269" s="54"/>
      <x:c r="N269" s="54"/>
      <x:c r="O269" s="57" t="str">
        <x:f>IF($C269="","",MAX(0,MIN(100,IFERROR(VLOOKUP($L269,'Lists &amp; Rules'!$P$5:$Q$8,2,FALSE),0)+IFERROR(VLOOKUP($N269,'Lists &amp; Rules'!$S$5:$T$7,2,FALSE),0)+IFERROR(VLOOKUP($M269,'Lists &amp; Rules'!$L$5:$N$13,3,FALSE),0)+IF($R269="Overdue",-10,IF($R269="Today",5,0))+MIN(15,$Z269*3))))</x:f>
      </x:c>
      <x:c r="P269" s="71" t="str">
        <x:f>IF($A269="","",IF(COUNTIF('Activity Log'!$C$6:$C$1005,$A269)=0,"",MAXIFS('Activity Log'!$B$6:$B$1005,'Activity Log'!$C$6:$C$1005,$A269)))</x:f>
      </x:c>
      <x:c r="Q269" s="71" t="str">
        <x:f>IF($A269="","",IF(COUNTIFS('Activity Log'!$C$6:$C$1005,$A269,'Activity Log'!$J$6:$J$1005,"No",'Activity Log'!$I$6:$I$1005,"&gt;0")=0,"",MINIFS('Activity Log'!$I$6:$I$1005,'Activity Log'!$C$6:$C$1005,$A269,'Activity Log'!$J$6:$J$1005,"No",'Activity Log'!$I$6:$I$1005,"&gt;0")))</x:f>
      </x:c>
      <x:c r="R269" s="57" t="str">
        <x:f>IF($C269="","",IF(OR($K269="Won",$K269="Lost",$K269="Disqualified"),"Closed",IF($Q269="","No date",IF(INT($Q269)&lt;TODAY(),"Overdue",IF(INT($Q269)=TODAY(),"Today",IF(INT($Q269)&lt;=TODAY()+7,"Next 7 days","Later"))))))</x:f>
      </x:c>
      <x:c r="S269" s="57" t="str">
        <x:f>IF(OR($C269="",$P269=""),"",TODAY()-INT($P269))</x:f>
      </x:c>
      <x:c r="T269" s="54"/>
      <x:c r="U269" s="54"/>
      <x:c r="V269" s="63"/>
      <x:c r="W269" s="74"/>
      <x:c r="X269" s="77" t="str">
        <x:f>IF($C269="","",IFERROR(VLOOKUP($M269,'Lists &amp; Rules'!$L$5:$N$13,2,FALSE),0))</x:f>
      </x:c>
      <x:c r="Y269" s="80" t="str">
        <x:f>IF(OR($C269="",$W269=""),"",ROUND($W269*$X269,0))</x:f>
      </x:c>
      <x:c r="Z269" s="57" t="str">
        <x:f>IF($A269="","",COUNTIF('Activity Log'!$C$6:$C$1005,$A269))</x:f>
      </x:c>
      <x:c r="AA269" s="68"/>
      <x:c r="AB269" s="63"/>
    </x:row>
    <x:row r="270">
      <x:c r="A270" s="54"/>
      <x:c r="B270" s="68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  <x:c r="M270" s="54"/>
      <x:c r="N270" s="54"/>
      <x:c r="O270" s="57" t="str">
        <x:f>IF($C270="","",MAX(0,MIN(100,IFERROR(VLOOKUP($L270,'Lists &amp; Rules'!$P$5:$Q$8,2,FALSE),0)+IFERROR(VLOOKUP($N270,'Lists &amp; Rules'!$S$5:$T$7,2,FALSE),0)+IFERROR(VLOOKUP($M270,'Lists &amp; Rules'!$L$5:$N$13,3,FALSE),0)+IF($R270="Overdue",-10,IF($R270="Today",5,0))+MIN(15,$Z270*3))))</x:f>
      </x:c>
      <x:c r="P270" s="71" t="str">
        <x:f>IF($A270="","",IF(COUNTIF('Activity Log'!$C$6:$C$1005,$A270)=0,"",MAXIFS('Activity Log'!$B$6:$B$1005,'Activity Log'!$C$6:$C$1005,$A270)))</x:f>
      </x:c>
      <x:c r="Q270" s="71" t="str">
        <x:f>IF($A270="","",IF(COUNTIFS('Activity Log'!$C$6:$C$1005,$A270,'Activity Log'!$J$6:$J$1005,"No",'Activity Log'!$I$6:$I$1005,"&gt;0")=0,"",MINIFS('Activity Log'!$I$6:$I$1005,'Activity Log'!$C$6:$C$1005,$A270,'Activity Log'!$J$6:$J$1005,"No",'Activity Log'!$I$6:$I$1005,"&gt;0")))</x:f>
      </x:c>
      <x:c r="R270" s="57" t="str">
        <x:f>IF($C270="","",IF(OR($K270="Won",$K270="Lost",$K270="Disqualified"),"Closed",IF($Q270="","No date",IF(INT($Q270)&lt;TODAY(),"Overdue",IF(INT($Q270)=TODAY(),"Today",IF(INT($Q270)&lt;=TODAY()+7,"Next 7 days","Later"))))))</x:f>
      </x:c>
      <x:c r="S270" s="57" t="str">
        <x:f>IF(OR($C270="",$P270=""),"",TODAY()-INT($P270))</x:f>
      </x:c>
      <x:c r="T270" s="54"/>
      <x:c r="U270" s="54"/>
      <x:c r="V270" s="63"/>
      <x:c r="W270" s="74"/>
      <x:c r="X270" s="77" t="str">
        <x:f>IF($C270="","",IFERROR(VLOOKUP($M270,'Lists &amp; Rules'!$L$5:$N$13,2,FALSE),0))</x:f>
      </x:c>
      <x:c r="Y270" s="80" t="str">
        <x:f>IF(OR($C270="",$W270=""),"",ROUND($W270*$X270,0))</x:f>
      </x:c>
      <x:c r="Z270" s="57" t="str">
        <x:f>IF($A270="","",COUNTIF('Activity Log'!$C$6:$C$1005,$A270))</x:f>
      </x:c>
      <x:c r="AA270" s="68"/>
      <x:c r="AB270" s="63"/>
    </x:row>
    <x:row r="271">
      <x:c r="A271" s="54"/>
      <x:c r="B271" s="68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  <x:c r="M271" s="54"/>
      <x:c r="N271" s="54"/>
      <x:c r="O271" s="57" t="str">
        <x:f>IF($C271="","",MAX(0,MIN(100,IFERROR(VLOOKUP($L271,'Lists &amp; Rules'!$P$5:$Q$8,2,FALSE),0)+IFERROR(VLOOKUP($N271,'Lists &amp; Rules'!$S$5:$T$7,2,FALSE),0)+IFERROR(VLOOKUP($M271,'Lists &amp; Rules'!$L$5:$N$13,3,FALSE),0)+IF($R271="Overdue",-10,IF($R271="Today",5,0))+MIN(15,$Z271*3))))</x:f>
      </x:c>
      <x:c r="P271" s="71" t="str">
        <x:f>IF($A271="","",IF(COUNTIF('Activity Log'!$C$6:$C$1005,$A271)=0,"",MAXIFS('Activity Log'!$B$6:$B$1005,'Activity Log'!$C$6:$C$1005,$A271)))</x:f>
      </x:c>
      <x:c r="Q271" s="71" t="str">
        <x:f>IF($A271="","",IF(COUNTIFS('Activity Log'!$C$6:$C$1005,$A271,'Activity Log'!$J$6:$J$1005,"No",'Activity Log'!$I$6:$I$1005,"&gt;0")=0,"",MINIFS('Activity Log'!$I$6:$I$1005,'Activity Log'!$C$6:$C$1005,$A271,'Activity Log'!$J$6:$J$1005,"No",'Activity Log'!$I$6:$I$1005,"&gt;0")))</x:f>
      </x:c>
      <x:c r="R271" s="57" t="str">
        <x:f>IF($C271="","",IF(OR($K271="Won",$K271="Lost",$K271="Disqualified"),"Closed",IF($Q271="","No date",IF(INT($Q271)&lt;TODAY(),"Overdue",IF(INT($Q271)=TODAY(),"Today",IF(INT($Q271)&lt;=TODAY()+7,"Next 7 days","Later"))))))</x:f>
      </x:c>
      <x:c r="S271" s="57" t="str">
        <x:f>IF(OR($C271="",$P271=""),"",TODAY()-INT($P271))</x:f>
      </x:c>
      <x:c r="T271" s="54"/>
      <x:c r="U271" s="54"/>
      <x:c r="V271" s="63"/>
      <x:c r="W271" s="74"/>
      <x:c r="X271" s="77" t="str">
        <x:f>IF($C271="","",IFERROR(VLOOKUP($M271,'Lists &amp; Rules'!$L$5:$N$13,2,FALSE),0))</x:f>
      </x:c>
      <x:c r="Y271" s="80" t="str">
        <x:f>IF(OR($C271="",$W271=""),"",ROUND($W271*$X271,0))</x:f>
      </x:c>
      <x:c r="Z271" s="57" t="str">
        <x:f>IF($A271="","",COUNTIF('Activity Log'!$C$6:$C$1005,$A271))</x:f>
      </x:c>
      <x:c r="AA271" s="68"/>
      <x:c r="AB271" s="63"/>
    </x:row>
    <x:row r="272">
      <x:c r="A272" s="54"/>
      <x:c r="B272" s="68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  <x:c r="M272" s="54"/>
      <x:c r="N272" s="54"/>
      <x:c r="O272" s="57" t="str">
        <x:f>IF($C272="","",MAX(0,MIN(100,IFERROR(VLOOKUP($L272,'Lists &amp; Rules'!$P$5:$Q$8,2,FALSE),0)+IFERROR(VLOOKUP($N272,'Lists &amp; Rules'!$S$5:$T$7,2,FALSE),0)+IFERROR(VLOOKUP($M272,'Lists &amp; Rules'!$L$5:$N$13,3,FALSE),0)+IF($R272="Overdue",-10,IF($R272="Today",5,0))+MIN(15,$Z272*3))))</x:f>
      </x:c>
      <x:c r="P272" s="71" t="str">
        <x:f>IF($A272="","",IF(COUNTIF('Activity Log'!$C$6:$C$1005,$A272)=0,"",MAXIFS('Activity Log'!$B$6:$B$1005,'Activity Log'!$C$6:$C$1005,$A272)))</x:f>
      </x:c>
      <x:c r="Q272" s="71" t="str">
        <x:f>IF($A272="","",IF(COUNTIFS('Activity Log'!$C$6:$C$1005,$A272,'Activity Log'!$J$6:$J$1005,"No",'Activity Log'!$I$6:$I$1005,"&gt;0")=0,"",MINIFS('Activity Log'!$I$6:$I$1005,'Activity Log'!$C$6:$C$1005,$A272,'Activity Log'!$J$6:$J$1005,"No",'Activity Log'!$I$6:$I$1005,"&gt;0")))</x:f>
      </x:c>
      <x:c r="R272" s="57" t="str">
        <x:f>IF($C272="","",IF(OR($K272="Won",$K272="Lost",$K272="Disqualified"),"Closed",IF($Q272="","No date",IF(INT($Q272)&lt;TODAY(),"Overdue",IF(INT($Q272)=TODAY(),"Today",IF(INT($Q272)&lt;=TODAY()+7,"Next 7 days","Later"))))))</x:f>
      </x:c>
      <x:c r="S272" s="57" t="str">
        <x:f>IF(OR($C272="",$P272=""),"",TODAY()-INT($P272))</x:f>
      </x:c>
      <x:c r="T272" s="54"/>
      <x:c r="U272" s="54"/>
      <x:c r="V272" s="63"/>
      <x:c r="W272" s="74"/>
      <x:c r="X272" s="77" t="str">
        <x:f>IF($C272="","",IFERROR(VLOOKUP($M272,'Lists &amp; Rules'!$L$5:$N$13,2,FALSE),0))</x:f>
      </x:c>
      <x:c r="Y272" s="80" t="str">
        <x:f>IF(OR($C272="",$W272=""),"",ROUND($W272*$X272,0))</x:f>
      </x:c>
      <x:c r="Z272" s="57" t="str">
        <x:f>IF($A272="","",COUNTIF('Activity Log'!$C$6:$C$1005,$A272))</x:f>
      </x:c>
      <x:c r="AA272" s="68"/>
      <x:c r="AB272" s="63"/>
    </x:row>
    <x:row r="273">
      <x:c r="A273" s="54"/>
      <x:c r="B273" s="68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  <x:c r="M273" s="54"/>
      <x:c r="N273" s="54"/>
      <x:c r="O273" s="57" t="str">
        <x:f>IF($C273="","",MAX(0,MIN(100,IFERROR(VLOOKUP($L273,'Lists &amp; Rules'!$P$5:$Q$8,2,FALSE),0)+IFERROR(VLOOKUP($N273,'Lists &amp; Rules'!$S$5:$T$7,2,FALSE),0)+IFERROR(VLOOKUP($M273,'Lists &amp; Rules'!$L$5:$N$13,3,FALSE),0)+IF($R273="Overdue",-10,IF($R273="Today",5,0))+MIN(15,$Z273*3))))</x:f>
      </x:c>
      <x:c r="P273" s="71" t="str">
        <x:f>IF($A273="","",IF(COUNTIF('Activity Log'!$C$6:$C$1005,$A273)=0,"",MAXIFS('Activity Log'!$B$6:$B$1005,'Activity Log'!$C$6:$C$1005,$A273)))</x:f>
      </x:c>
      <x:c r="Q273" s="71" t="str">
        <x:f>IF($A273="","",IF(COUNTIFS('Activity Log'!$C$6:$C$1005,$A273,'Activity Log'!$J$6:$J$1005,"No",'Activity Log'!$I$6:$I$1005,"&gt;0")=0,"",MINIFS('Activity Log'!$I$6:$I$1005,'Activity Log'!$C$6:$C$1005,$A273,'Activity Log'!$J$6:$J$1005,"No",'Activity Log'!$I$6:$I$1005,"&gt;0")))</x:f>
      </x:c>
      <x:c r="R273" s="57" t="str">
        <x:f>IF($C273="","",IF(OR($K273="Won",$K273="Lost",$K273="Disqualified"),"Closed",IF($Q273="","No date",IF(INT($Q273)&lt;TODAY(),"Overdue",IF(INT($Q273)=TODAY(),"Today",IF(INT($Q273)&lt;=TODAY()+7,"Next 7 days","Later"))))))</x:f>
      </x:c>
      <x:c r="S273" s="57" t="str">
        <x:f>IF(OR($C273="",$P273=""),"",TODAY()-INT($P273))</x:f>
      </x:c>
      <x:c r="T273" s="54"/>
      <x:c r="U273" s="54"/>
      <x:c r="V273" s="63"/>
      <x:c r="W273" s="74"/>
      <x:c r="X273" s="77" t="str">
        <x:f>IF($C273="","",IFERROR(VLOOKUP($M273,'Lists &amp; Rules'!$L$5:$N$13,2,FALSE),0))</x:f>
      </x:c>
      <x:c r="Y273" s="80" t="str">
        <x:f>IF(OR($C273="",$W273=""),"",ROUND($W273*$X273,0))</x:f>
      </x:c>
      <x:c r="Z273" s="57" t="str">
        <x:f>IF($A273="","",COUNTIF('Activity Log'!$C$6:$C$1005,$A273))</x:f>
      </x:c>
      <x:c r="AA273" s="68"/>
      <x:c r="AB273" s="63"/>
    </x:row>
    <x:row r="274">
      <x:c r="A274" s="54"/>
      <x:c r="B274" s="68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  <x:c r="M274" s="54"/>
      <x:c r="N274" s="54"/>
      <x:c r="O274" s="57" t="str">
        <x:f>IF($C274="","",MAX(0,MIN(100,IFERROR(VLOOKUP($L274,'Lists &amp; Rules'!$P$5:$Q$8,2,FALSE),0)+IFERROR(VLOOKUP($N274,'Lists &amp; Rules'!$S$5:$T$7,2,FALSE),0)+IFERROR(VLOOKUP($M274,'Lists &amp; Rules'!$L$5:$N$13,3,FALSE),0)+IF($R274="Overdue",-10,IF($R274="Today",5,0))+MIN(15,$Z274*3))))</x:f>
      </x:c>
      <x:c r="P274" s="71" t="str">
        <x:f>IF($A274="","",IF(COUNTIF('Activity Log'!$C$6:$C$1005,$A274)=0,"",MAXIFS('Activity Log'!$B$6:$B$1005,'Activity Log'!$C$6:$C$1005,$A274)))</x:f>
      </x:c>
      <x:c r="Q274" s="71" t="str">
        <x:f>IF($A274="","",IF(COUNTIFS('Activity Log'!$C$6:$C$1005,$A274,'Activity Log'!$J$6:$J$1005,"No",'Activity Log'!$I$6:$I$1005,"&gt;0")=0,"",MINIFS('Activity Log'!$I$6:$I$1005,'Activity Log'!$C$6:$C$1005,$A274,'Activity Log'!$J$6:$J$1005,"No",'Activity Log'!$I$6:$I$1005,"&gt;0")))</x:f>
      </x:c>
      <x:c r="R274" s="57" t="str">
        <x:f>IF($C274="","",IF(OR($K274="Won",$K274="Lost",$K274="Disqualified"),"Closed",IF($Q274="","No date",IF(INT($Q274)&lt;TODAY(),"Overdue",IF(INT($Q274)=TODAY(),"Today",IF(INT($Q274)&lt;=TODAY()+7,"Next 7 days","Later"))))))</x:f>
      </x:c>
      <x:c r="S274" s="57" t="str">
        <x:f>IF(OR($C274="",$P274=""),"",TODAY()-INT($P274))</x:f>
      </x:c>
      <x:c r="T274" s="54"/>
      <x:c r="U274" s="54"/>
      <x:c r="V274" s="63"/>
      <x:c r="W274" s="74"/>
      <x:c r="X274" s="77" t="str">
        <x:f>IF($C274="","",IFERROR(VLOOKUP($M274,'Lists &amp; Rules'!$L$5:$N$13,2,FALSE),0))</x:f>
      </x:c>
      <x:c r="Y274" s="80" t="str">
        <x:f>IF(OR($C274="",$W274=""),"",ROUND($W274*$X274,0))</x:f>
      </x:c>
      <x:c r="Z274" s="57" t="str">
        <x:f>IF($A274="","",COUNTIF('Activity Log'!$C$6:$C$1005,$A274))</x:f>
      </x:c>
      <x:c r="AA274" s="68"/>
      <x:c r="AB274" s="63"/>
    </x:row>
    <x:row r="275">
      <x:c r="A275" s="54"/>
      <x:c r="B275" s="68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  <x:c r="M275" s="54"/>
      <x:c r="N275" s="54"/>
      <x:c r="O275" s="57" t="str">
        <x:f>IF($C275="","",MAX(0,MIN(100,IFERROR(VLOOKUP($L275,'Lists &amp; Rules'!$P$5:$Q$8,2,FALSE),0)+IFERROR(VLOOKUP($N275,'Lists &amp; Rules'!$S$5:$T$7,2,FALSE),0)+IFERROR(VLOOKUP($M275,'Lists &amp; Rules'!$L$5:$N$13,3,FALSE),0)+IF($R275="Overdue",-10,IF($R275="Today",5,0))+MIN(15,$Z275*3))))</x:f>
      </x:c>
      <x:c r="P275" s="71" t="str">
        <x:f>IF($A275="","",IF(COUNTIF('Activity Log'!$C$6:$C$1005,$A275)=0,"",MAXIFS('Activity Log'!$B$6:$B$1005,'Activity Log'!$C$6:$C$1005,$A275)))</x:f>
      </x:c>
      <x:c r="Q275" s="71" t="str">
        <x:f>IF($A275="","",IF(COUNTIFS('Activity Log'!$C$6:$C$1005,$A275,'Activity Log'!$J$6:$J$1005,"No",'Activity Log'!$I$6:$I$1005,"&gt;0")=0,"",MINIFS('Activity Log'!$I$6:$I$1005,'Activity Log'!$C$6:$C$1005,$A275,'Activity Log'!$J$6:$J$1005,"No",'Activity Log'!$I$6:$I$1005,"&gt;0")))</x:f>
      </x:c>
      <x:c r="R275" s="57" t="str">
        <x:f>IF($C275="","",IF(OR($K275="Won",$K275="Lost",$K275="Disqualified"),"Closed",IF($Q275="","No date",IF(INT($Q275)&lt;TODAY(),"Overdue",IF(INT($Q275)=TODAY(),"Today",IF(INT($Q275)&lt;=TODAY()+7,"Next 7 days","Later"))))))</x:f>
      </x:c>
      <x:c r="S275" s="57" t="str">
        <x:f>IF(OR($C275="",$P275=""),"",TODAY()-INT($P275))</x:f>
      </x:c>
      <x:c r="T275" s="54"/>
      <x:c r="U275" s="54"/>
      <x:c r="V275" s="63"/>
      <x:c r="W275" s="74"/>
      <x:c r="X275" s="77" t="str">
        <x:f>IF($C275="","",IFERROR(VLOOKUP($M275,'Lists &amp; Rules'!$L$5:$N$13,2,FALSE),0))</x:f>
      </x:c>
      <x:c r="Y275" s="80" t="str">
        <x:f>IF(OR($C275="",$W275=""),"",ROUND($W275*$X275,0))</x:f>
      </x:c>
      <x:c r="Z275" s="57" t="str">
        <x:f>IF($A275="","",COUNTIF('Activity Log'!$C$6:$C$1005,$A275))</x:f>
      </x:c>
      <x:c r="AA275" s="68"/>
      <x:c r="AB275" s="63"/>
    </x:row>
    <x:row r="276">
      <x:c r="A276" s="54"/>
      <x:c r="B276" s="68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  <x:c r="M276" s="54"/>
      <x:c r="N276" s="54"/>
      <x:c r="O276" s="57" t="str">
        <x:f>IF($C276="","",MAX(0,MIN(100,IFERROR(VLOOKUP($L276,'Lists &amp; Rules'!$P$5:$Q$8,2,FALSE),0)+IFERROR(VLOOKUP($N276,'Lists &amp; Rules'!$S$5:$T$7,2,FALSE),0)+IFERROR(VLOOKUP($M276,'Lists &amp; Rules'!$L$5:$N$13,3,FALSE),0)+IF($R276="Overdue",-10,IF($R276="Today",5,0))+MIN(15,$Z276*3))))</x:f>
      </x:c>
      <x:c r="P276" s="71" t="str">
        <x:f>IF($A276="","",IF(COUNTIF('Activity Log'!$C$6:$C$1005,$A276)=0,"",MAXIFS('Activity Log'!$B$6:$B$1005,'Activity Log'!$C$6:$C$1005,$A276)))</x:f>
      </x:c>
      <x:c r="Q276" s="71" t="str">
        <x:f>IF($A276="","",IF(COUNTIFS('Activity Log'!$C$6:$C$1005,$A276,'Activity Log'!$J$6:$J$1005,"No",'Activity Log'!$I$6:$I$1005,"&gt;0")=0,"",MINIFS('Activity Log'!$I$6:$I$1005,'Activity Log'!$C$6:$C$1005,$A276,'Activity Log'!$J$6:$J$1005,"No",'Activity Log'!$I$6:$I$1005,"&gt;0")))</x:f>
      </x:c>
      <x:c r="R276" s="57" t="str">
        <x:f>IF($C276="","",IF(OR($K276="Won",$K276="Lost",$K276="Disqualified"),"Closed",IF($Q276="","No date",IF(INT($Q276)&lt;TODAY(),"Overdue",IF(INT($Q276)=TODAY(),"Today",IF(INT($Q276)&lt;=TODAY()+7,"Next 7 days","Later"))))))</x:f>
      </x:c>
      <x:c r="S276" s="57" t="str">
        <x:f>IF(OR($C276="",$P276=""),"",TODAY()-INT($P276))</x:f>
      </x:c>
      <x:c r="T276" s="54"/>
      <x:c r="U276" s="54"/>
      <x:c r="V276" s="63"/>
      <x:c r="W276" s="74"/>
      <x:c r="X276" s="77" t="str">
        <x:f>IF($C276="","",IFERROR(VLOOKUP($M276,'Lists &amp; Rules'!$L$5:$N$13,2,FALSE),0))</x:f>
      </x:c>
      <x:c r="Y276" s="80" t="str">
        <x:f>IF(OR($C276="",$W276=""),"",ROUND($W276*$X276,0))</x:f>
      </x:c>
      <x:c r="Z276" s="57" t="str">
        <x:f>IF($A276="","",COUNTIF('Activity Log'!$C$6:$C$1005,$A276))</x:f>
      </x:c>
      <x:c r="AA276" s="68"/>
      <x:c r="AB276" s="63"/>
    </x:row>
    <x:row r="277">
      <x:c r="A277" s="54"/>
      <x:c r="B277" s="68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  <x:c r="M277" s="54"/>
      <x:c r="N277" s="54"/>
      <x:c r="O277" s="57" t="str">
        <x:f>IF($C277="","",MAX(0,MIN(100,IFERROR(VLOOKUP($L277,'Lists &amp; Rules'!$P$5:$Q$8,2,FALSE),0)+IFERROR(VLOOKUP($N277,'Lists &amp; Rules'!$S$5:$T$7,2,FALSE),0)+IFERROR(VLOOKUP($M277,'Lists &amp; Rules'!$L$5:$N$13,3,FALSE),0)+IF($R277="Overdue",-10,IF($R277="Today",5,0))+MIN(15,$Z277*3))))</x:f>
      </x:c>
      <x:c r="P277" s="71" t="str">
        <x:f>IF($A277="","",IF(COUNTIF('Activity Log'!$C$6:$C$1005,$A277)=0,"",MAXIFS('Activity Log'!$B$6:$B$1005,'Activity Log'!$C$6:$C$1005,$A277)))</x:f>
      </x:c>
      <x:c r="Q277" s="71" t="str">
        <x:f>IF($A277="","",IF(COUNTIFS('Activity Log'!$C$6:$C$1005,$A277,'Activity Log'!$J$6:$J$1005,"No",'Activity Log'!$I$6:$I$1005,"&gt;0")=0,"",MINIFS('Activity Log'!$I$6:$I$1005,'Activity Log'!$C$6:$C$1005,$A277,'Activity Log'!$J$6:$J$1005,"No",'Activity Log'!$I$6:$I$1005,"&gt;0")))</x:f>
      </x:c>
      <x:c r="R277" s="57" t="str">
        <x:f>IF($C277="","",IF(OR($K277="Won",$K277="Lost",$K277="Disqualified"),"Closed",IF($Q277="","No date",IF(INT($Q277)&lt;TODAY(),"Overdue",IF(INT($Q277)=TODAY(),"Today",IF(INT($Q277)&lt;=TODAY()+7,"Next 7 days","Later"))))))</x:f>
      </x:c>
      <x:c r="S277" s="57" t="str">
        <x:f>IF(OR($C277="",$P277=""),"",TODAY()-INT($P277))</x:f>
      </x:c>
      <x:c r="T277" s="54"/>
      <x:c r="U277" s="54"/>
      <x:c r="V277" s="63"/>
      <x:c r="W277" s="74"/>
      <x:c r="X277" s="77" t="str">
        <x:f>IF($C277="","",IFERROR(VLOOKUP($M277,'Lists &amp; Rules'!$L$5:$N$13,2,FALSE),0))</x:f>
      </x:c>
      <x:c r="Y277" s="80" t="str">
        <x:f>IF(OR($C277="",$W277=""),"",ROUND($W277*$X277,0))</x:f>
      </x:c>
      <x:c r="Z277" s="57" t="str">
        <x:f>IF($A277="","",COUNTIF('Activity Log'!$C$6:$C$1005,$A277))</x:f>
      </x:c>
      <x:c r="AA277" s="68"/>
      <x:c r="AB277" s="63"/>
    </x:row>
    <x:row r="278">
      <x:c r="A278" s="54"/>
      <x:c r="B278" s="68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  <x:c r="M278" s="54"/>
      <x:c r="N278" s="54"/>
      <x:c r="O278" s="57" t="str">
        <x:f>IF($C278="","",MAX(0,MIN(100,IFERROR(VLOOKUP($L278,'Lists &amp; Rules'!$P$5:$Q$8,2,FALSE),0)+IFERROR(VLOOKUP($N278,'Lists &amp; Rules'!$S$5:$T$7,2,FALSE),0)+IFERROR(VLOOKUP($M278,'Lists &amp; Rules'!$L$5:$N$13,3,FALSE),0)+IF($R278="Overdue",-10,IF($R278="Today",5,0))+MIN(15,$Z278*3))))</x:f>
      </x:c>
      <x:c r="P278" s="71" t="str">
        <x:f>IF($A278="","",IF(COUNTIF('Activity Log'!$C$6:$C$1005,$A278)=0,"",MAXIFS('Activity Log'!$B$6:$B$1005,'Activity Log'!$C$6:$C$1005,$A278)))</x:f>
      </x:c>
      <x:c r="Q278" s="71" t="str">
        <x:f>IF($A278="","",IF(COUNTIFS('Activity Log'!$C$6:$C$1005,$A278,'Activity Log'!$J$6:$J$1005,"No",'Activity Log'!$I$6:$I$1005,"&gt;0")=0,"",MINIFS('Activity Log'!$I$6:$I$1005,'Activity Log'!$C$6:$C$1005,$A278,'Activity Log'!$J$6:$J$1005,"No",'Activity Log'!$I$6:$I$1005,"&gt;0")))</x:f>
      </x:c>
      <x:c r="R278" s="57" t="str">
        <x:f>IF($C278="","",IF(OR($K278="Won",$K278="Lost",$K278="Disqualified"),"Closed",IF($Q278="","No date",IF(INT($Q278)&lt;TODAY(),"Overdue",IF(INT($Q278)=TODAY(),"Today",IF(INT($Q278)&lt;=TODAY()+7,"Next 7 days","Later"))))))</x:f>
      </x:c>
      <x:c r="S278" s="57" t="str">
        <x:f>IF(OR($C278="",$P278=""),"",TODAY()-INT($P278))</x:f>
      </x:c>
      <x:c r="T278" s="54"/>
      <x:c r="U278" s="54"/>
      <x:c r="V278" s="63"/>
      <x:c r="W278" s="74"/>
      <x:c r="X278" s="77" t="str">
        <x:f>IF($C278="","",IFERROR(VLOOKUP($M278,'Lists &amp; Rules'!$L$5:$N$13,2,FALSE),0))</x:f>
      </x:c>
      <x:c r="Y278" s="80" t="str">
        <x:f>IF(OR($C278="",$W278=""),"",ROUND($W278*$X278,0))</x:f>
      </x:c>
      <x:c r="Z278" s="57" t="str">
        <x:f>IF($A278="","",COUNTIF('Activity Log'!$C$6:$C$1005,$A278))</x:f>
      </x:c>
      <x:c r="AA278" s="68"/>
      <x:c r="AB278" s="63"/>
    </x:row>
    <x:row r="279">
      <x:c r="A279" s="54"/>
      <x:c r="B279" s="68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  <x:c r="M279" s="54"/>
      <x:c r="N279" s="54"/>
      <x:c r="O279" s="57" t="str">
        <x:f>IF($C279="","",MAX(0,MIN(100,IFERROR(VLOOKUP($L279,'Lists &amp; Rules'!$P$5:$Q$8,2,FALSE),0)+IFERROR(VLOOKUP($N279,'Lists &amp; Rules'!$S$5:$T$7,2,FALSE),0)+IFERROR(VLOOKUP($M279,'Lists &amp; Rules'!$L$5:$N$13,3,FALSE),0)+IF($R279="Overdue",-10,IF($R279="Today",5,0))+MIN(15,$Z279*3))))</x:f>
      </x:c>
      <x:c r="P279" s="71" t="str">
        <x:f>IF($A279="","",IF(COUNTIF('Activity Log'!$C$6:$C$1005,$A279)=0,"",MAXIFS('Activity Log'!$B$6:$B$1005,'Activity Log'!$C$6:$C$1005,$A279)))</x:f>
      </x:c>
      <x:c r="Q279" s="71" t="str">
        <x:f>IF($A279="","",IF(COUNTIFS('Activity Log'!$C$6:$C$1005,$A279,'Activity Log'!$J$6:$J$1005,"No",'Activity Log'!$I$6:$I$1005,"&gt;0")=0,"",MINIFS('Activity Log'!$I$6:$I$1005,'Activity Log'!$C$6:$C$1005,$A279,'Activity Log'!$J$6:$J$1005,"No",'Activity Log'!$I$6:$I$1005,"&gt;0")))</x:f>
      </x:c>
      <x:c r="R279" s="57" t="str">
        <x:f>IF($C279="","",IF(OR($K279="Won",$K279="Lost",$K279="Disqualified"),"Closed",IF($Q279="","No date",IF(INT($Q279)&lt;TODAY(),"Overdue",IF(INT($Q279)=TODAY(),"Today",IF(INT($Q279)&lt;=TODAY()+7,"Next 7 days","Later"))))))</x:f>
      </x:c>
      <x:c r="S279" s="57" t="str">
        <x:f>IF(OR($C279="",$P279=""),"",TODAY()-INT($P279))</x:f>
      </x:c>
      <x:c r="T279" s="54"/>
      <x:c r="U279" s="54"/>
      <x:c r="V279" s="63"/>
      <x:c r="W279" s="74"/>
      <x:c r="X279" s="77" t="str">
        <x:f>IF($C279="","",IFERROR(VLOOKUP($M279,'Lists &amp; Rules'!$L$5:$N$13,2,FALSE),0))</x:f>
      </x:c>
      <x:c r="Y279" s="80" t="str">
        <x:f>IF(OR($C279="",$W279=""),"",ROUND($W279*$X279,0))</x:f>
      </x:c>
      <x:c r="Z279" s="57" t="str">
        <x:f>IF($A279="","",COUNTIF('Activity Log'!$C$6:$C$1005,$A279))</x:f>
      </x:c>
      <x:c r="AA279" s="68"/>
      <x:c r="AB279" s="63"/>
    </x:row>
    <x:row r="280">
      <x:c r="A280" s="54"/>
      <x:c r="B280" s="68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  <x:c r="M280" s="54"/>
      <x:c r="N280" s="54"/>
      <x:c r="O280" s="57" t="str">
        <x:f>IF($C280="","",MAX(0,MIN(100,IFERROR(VLOOKUP($L280,'Lists &amp; Rules'!$P$5:$Q$8,2,FALSE),0)+IFERROR(VLOOKUP($N280,'Lists &amp; Rules'!$S$5:$T$7,2,FALSE),0)+IFERROR(VLOOKUP($M280,'Lists &amp; Rules'!$L$5:$N$13,3,FALSE),0)+IF($R280="Overdue",-10,IF($R280="Today",5,0))+MIN(15,$Z280*3))))</x:f>
      </x:c>
      <x:c r="P280" s="71" t="str">
        <x:f>IF($A280="","",IF(COUNTIF('Activity Log'!$C$6:$C$1005,$A280)=0,"",MAXIFS('Activity Log'!$B$6:$B$1005,'Activity Log'!$C$6:$C$1005,$A280)))</x:f>
      </x:c>
      <x:c r="Q280" s="71" t="str">
        <x:f>IF($A280="","",IF(COUNTIFS('Activity Log'!$C$6:$C$1005,$A280,'Activity Log'!$J$6:$J$1005,"No",'Activity Log'!$I$6:$I$1005,"&gt;0")=0,"",MINIFS('Activity Log'!$I$6:$I$1005,'Activity Log'!$C$6:$C$1005,$A280,'Activity Log'!$J$6:$J$1005,"No",'Activity Log'!$I$6:$I$1005,"&gt;0")))</x:f>
      </x:c>
      <x:c r="R280" s="57" t="str">
        <x:f>IF($C280="","",IF(OR($K280="Won",$K280="Lost",$K280="Disqualified"),"Closed",IF($Q280="","No date",IF(INT($Q280)&lt;TODAY(),"Overdue",IF(INT($Q280)=TODAY(),"Today",IF(INT($Q280)&lt;=TODAY()+7,"Next 7 days","Later"))))))</x:f>
      </x:c>
      <x:c r="S280" s="57" t="str">
        <x:f>IF(OR($C280="",$P280=""),"",TODAY()-INT($P280))</x:f>
      </x:c>
      <x:c r="T280" s="54"/>
      <x:c r="U280" s="54"/>
      <x:c r="V280" s="63"/>
      <x:c r="W280" s="74"/>
      <x:c r="X280" s="77" t="str">
        <x:f>IF($C280="","",IFERROR(VLOOKUP($M280,'Lists &amp; Rules'!$L$5:$N$13,2,FALSE),0))</x:f>
      </x:c>
      <x:c r="Y280" s="80" t="str">
        <x:f>IF(OR($C280="",$W280=""),"",ROUND($W280*$X280,0))</x:f>
      </x:c>
      <x:c r="Z280" s="57" t="str">
        <x:f>IF($A280="","",COUNTIF('Activity Log'!$C$6:$C$1005,$A280))</x:f>
      </x:c>
      <x:c r="AA280" s="68"/>
      <x:c r="AB280" s="63"/>
    </x:row>
    <x:row r="281">
      <x:c r="A281" s="54"/>
      <x:c r="B281" s="68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  <x:c r="M281" s="54"/>
      <x:c r="N281" s="54"/>
      <x:c r="O281" s="57" t="str">
        <x:f>IF($C281="","",MAX(0,MIN(100,IFERROR(VLOOKUP($L281,'Lists &amp; Rules'!$P$5:$Q$8,2,FALSE),0)+IFERROR(VLOOKUP($N281,'Lists &amp; Rules'!$S$5:$T$7,2,FALSE),0)+IFERROR(VLOOKUP($M281,'Lists &amp; Rules'!$L$5:$N$13,3,FALSE),0)+IF($R281="Overdue",-10,IF($R281="Today",5,0))+MIN(15,$Z281*3))))</x:f>
      </x:c>
      <x:c r="P281" s="71" t="str">
        <x:f>IF($A281="","",IF(COUNTIF('Activity Log'!$C$6:$C$1005,$A281)=0,"",MAXIFS('Activity Log'!$B$6:$B$1005,'Activity Log'!$C$6:$C$1005,$A281)))</x:f>
      </x:c>
      <x:c r="Q281" s="71" t="str">
        <x:f>IF($A281="","",IF(COUNTIFS('Activity Log'!$C$6:$C$1005,$A281,'Activity Log'!$J$6:$J$1005,"No",'Activity Log'!$I$6:$I$1005,"&gt;0")=0,"",MINIFS('Activity Log'!$I$6:$I$1005,'Activity Log'!$C$6:$C$1005,$A281,'Activity Log'!$J$6:$J$1005,"No",'Activity Log'!$I$6:$I$1005,"&gt;0")))</x:f>
      </x:c>
      <x:c r="R281" s="57" t="str">
        <x:f>IF($C281="","",IF(OR($K281="Won",$K281="Lost",$K281="Disqualified"),"Closed",IF($Q281="","No date",IF(INT($Q281)&lt;TODAY(),"Overdue",IF(INT($Q281)=TODAY(),"Today",IF(INT($Q281)&lt;=TODAY()+7,"Next 7 days","Later"))))))</x:f>
      </x:c>
      <x:c r="S281" s="57" t="str">
        <x:f>IF(OR($C281="",$P281=""),"",TODAY()-INT($P281))</x:f>
      </x:c>
      <x:c r="T281" s="54"/>
      <x:c r="U281" s="54"/>
      <x:c r="V281" s="63"/>
      <x:c r="W281" s="74"/>
      <x:c r="X281" s="77" t="str">
        <x:f>IF($C281="","",IFERROR(VLOOKUP($M281,'Lists &amp; Rules'!$L$5:$N$13,2,FALSE),0))</x:f>
      </x:c>
      <x:c r="Y281" s="80" t="str">
        <x:f>IF(OR($C281="",$W281=""),"",ROUND($W281*$X281,0))</x:f>
      </x:c>
      <x:c r="Z281" s="57" t="str">
        <x:f>IF($A281="","",COUNTIF('Activity Log'!$C$6:$C$1005,$A281))</x:f>
      </x:c>
      <x:c r="AA281" s="68"/>
      <x:c r="AB281" s="63"/>
    </x:row>
    <x:row r="282">
      <x:c r="A282" s="54"/>
      <x:c r="B282" s="68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  <x:c r="M282" s="54"/>
      <x:c r="N282" s="54"/>
      <x:c r="O282" s="57" t="str">
        <x:f>IF($C282="","",MAX(0,MIN(100,IFERROR(VLOOKUP($L282,'Lists &amp; Rules'!$P$5:$Q$8,2,FALSE),0)+IFERROR(VLOOKUP($N282,'Lists &amp; Rules'!$S$5:$T$7,2,FALSE),0)+IFERROR(VLOOKUP($M282,'Lists &amp; Rules'!$L$5:$N$13,3,FALSE),0)+IF($R282="Overdue",-10,IF($R282="Today",5,0))+MIN(15,$Z282*3))))</x:f>
      </x:c>
      <x:c r="P282" s="71" t="str">
        <x:f>IF($A282="","",IF(COUNTIF('Activity Log'!$C$6:$C$1005,$A282)=0,"",MAXIFS('Activity Log'!$B$6:$B$1005,'Activity Log'!$C$6:$C$1005,$A282)))</x:f>
      </x:c>
      <x:c r="Q282" s="71" t="str">
        <x:f>IF($A282="","",IF(COUNTIFS('Activity Log'!$C$6:$C$1005,$A282,'Activity Log'!$J$6:$J$1005,"No",'Activity Log'!$I$6:$I$1005,"&gt;0")=0,"",MINIFS('Activity Log'!$I$6:$I$1005,'Activity Log'!$C$6:$C$1005,$A282,'Activity Log'!$J$6:$J$1005,"No",'Activity Log'!$I$6:$I$1005,"&gt;0")))</x:f>
      </x:c>
      <x:c r="R282" s="57" t="str">
        <x:f>IF($C282="","",IF(OR($K282="Won",$K282="Lost",$K282="Disqualified"),"Closed",IF($Q282="","No date",IF(INT($Q282)&lt;TODAY(),"Overdue",IF(INT($Q282)=TODAY(),"Today",IF(INT($Q282)&lt;=TODAY()+7,"Next 7 days","Later"))))))</x:f>
      </x:c>
      <x:c r="S282" s="57" t="str">
        <x:f>IF(OR($C282="",$P282=""),"",TODAY()-INT($P282))</x:f>
      </x:c>
      <x:c r="T282" s="54"/>
      <x:c r="U282" s="54"/>
      <x:c r="V282" s="63"/>
      <x:c r="W282" s="74"/>
      <x:c r="X282" s="77" t="str">
        <x:f>IF($C282="","",IFERROR(VLOOKUP($M282,'Lists &amp; Rules'!$L$5:$N$13,2,FALSE),0))</x:f>
      </x:c>
      <x:c r="Y282" s="80" t="str">
        <x:f>IF(OR($C282="",$W282=""),"",ROUND($W282*$X282,0))</x:f>
      </x:c>
      <x:c r="Z282" s="57" t="str">
        <x:f>IF($A282="","",COUNTIF('Activity Log'!$C$6:$C$1005,$A282))</x:f>
      </x:c>
      <x:c r="AA282" s="68"/>
      <x:c r="AB282" s="63"/>
    </x:row>
    <x:row r="283">
      <x:c r="A283" s="54"/>
      <x:c r="B283" s="68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  <x:c r="M283" s="54"/>
      <x:c r="N283" s="54"/>
      <x:c r="O283" s="57" t="str">
        <x:f>IF($C283="","",MAX(0,MIN(100,IFERROR(VLOOKUP($L283,'Lists &amp; Rules'!$P$5:$Q$8,2,FALSE),0)+IFERROR(VLOOKUP($N283,'Lists &amp; Rules'!$S$5:$T$7,2,FALSE),0)+IFERROR(VLOOKUP($M283,'Lists &amp; Rules'!$L$5:$N$13,3,FALSE),0)+IF($R283="Overdue",-10,IF($R283="Today",5,0))+MIN(15,$Z283*3))))</x:f>
      </x:c>
      <x:c r="P283" s="71" t="str">
        <x:f>IF($A283="","",IF(COUNTIF('Activity Log'!$C$6:$C$1005,$A283)=0,"",MAXIFS('Activity Log'!$B$6:$B$1005,'Activity Log'!$C$6:$C$1005,$A283)))</x:f>
      </x:c>
      <x:c r="Q283" s="71" t="str">
        <x:f>IF($A283="","",IF(COUNTIFS('Activity Log'!$C$6:$C$1005,$A283,'Activity Log'!$J$6:$J$1005,"No",'Activity Log'!$I$6:$I$1005,"&gt;0")=0,"",MINIFS('Activity Log'!$I$6:$I$1005,'Activity Log'!$C$6:$C$1005,$A283,'Activity Log'!$J$6:$J$1005,"No",'Activity Log'!$I$6:$I$1005,"&gt;0")))</x:f>
      </x:c>
      <x:c r="R283" s="57" t="str">
        <x:f>IF($C283="","",IF(OR($K283="Won",$K283="Lost",$K283="Disqualified"),"Closed",IF($Q283="","No date",IF(INT($Q283)&lt;TODAY(),"Overdue",IF(INT($Q283)=TODAY(),"Today",IF(INT($Q283)&lt;=TODAY()+7,"Next 7 days","Later"))))))</x:f>
      </x:c>
      <x:c r="S283" s="57" t="str">
        <x:f>IF(OR($C283="",$P283=""),"",TODAY()-INT($P283))</x:f>
      </x:c>
      <x:c r="T283" s="54"/>
      <x:c r="U283" s="54"/>
      <x:c r="V283" s="63"/>
      <x:c r="W283" s="74"/>
      <x:c r="X283" s="77" t="str">
        <x:f>IF($C283="","",IFERROR(VLOOKUP($M283,'Lists &amp; Rules'!$L$5:$N$13,2,FALSE),0))</x:f>
      </x:c>
      <x:c r="Y283" s="80" t="str">
        <x:f>IF(OR($C283="",$W283=""),"",ROUND($W283*$X283,0))</x:f>
      </x:c>
      <x:c r="Z283" s="57" t="str">
        <x:f>IF($A283="","",COUNTIF('Activity Log'!$C$6:$C$1005,$A283))</x:f>
      </x:c>
      <x:c r="AA283" s="68"/>
      <x:c r="AB283" s="63"/>
    </x:row>
    <x:row r="284">
      <x:c r="A284" s="54"/>
      <x:c r="B284" s="68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  <x:c r="M284" s="54"/>
      <x:c r="N284" s="54"/>
      <x:c r="O284" s="57" t="str">
        <x:f>IF($C284="","",MAX(0,MIN(100,IFERROR(VLOOKUP($L284,'Lists &amp; Rules'!$P$5:$Q$8,2,FALSE),0)+IFERROR(VLOOKUP($N284,'Lists &amp; Rules'!$S$5:$T$7,2,FALSE),0)+IFERROR(VLOOKUP($M284,'Lists &amp; Rules'!$L$5:$N$13,3,FALSE),0)+IF($R284="Overdue",-10,IF($R284="Today",5,0))+MIN(15,$Z284*3))))</x:f>
      </x:c>
      <x:c r="P284" s="71" t="str">
        <x:f>IF($A284="","",IF(COUNTIF('Activity Log'!$C$6:$C$1005,$A284)=0,"",MAXIFS('Activity Log'!$B$6:$B$1005,'Activity Log'!$C$6:$C$1005,$A284)))</x:f>
      </x:c>
      <x:c r="Q284" s="71" t="str">
        <x:f>IF($A284="","",IF(COUNTIFS('Activity Log'!$C$6:$C$1005,$A284,'Activity Log'!$J$6:$J$1005,"No",'Activity Log'!$I$6:$I$1005,"&gt;0")=0,"",MINIFS('Activity Log'!$I$6:$I$1005,'Activity Log'!$C$6:$C$1005,$A284,'Activity Log'!$J$6:$J$1005,"No",'Activity Log'!$I$6:$I$1005,"&gt;0")))</x:f>
      </x:c>
      <x:c r="R284" s="57" t="str">
        <x:f>IF($C284="","",IF(OR($K284="Won",$K284="Lost",$K284="Disqualified"),"Closed",IF($Q284="","No date",IF(INT($Q284)&lt;TODAY(),"Overdue",IF(INT($Q284)=TODAY(),"Today",IF(INT($Q284)&lt;=TODAY()+7,"Next 7 days","Later"))))))</x:f>
      </x:c>
      <x:c r="S284" s="57" t="str">
        <x:f>IF(OR($C284="",$P284=""),"",TODAY()-INT($P284))</x:f>
      </x:c>
      <x:c r="T284" s="54"/>
      <x:c r="U284" s="54"/>
      <x:c r="V284" s="63"/>
      <x:c r="W284" s="74"/>
      <x:c r="X284" s="77" t="str">
        <x:f>IF($C284="","",IFERROR(VLOOKUP($M284,'Lists &amp; Rules'!$L$5:$N$13,2,FALSE),0))</x:f>
      </x:c>
      <x:c r="Y284" s="80" t="str">
        <x:f>IF(OR($C284="",$W284=""),"",ROUND($W284*$X284,0))</x:f>
      </x:c>
      <x:c r="Z284" s="57" t="str">
        <x:f>IF($A284="","",COUNTIF('Activity Log'!$C$6:$C$1005,$A284))</x:f>
      </x:c>
      <x:c r="AA284" s="68"/>
      <x:c r="AB284" s="63"/>
    </x:row>
    <x:row r="285">
      <x:c r="A285" s="54"/>
      <x:c r="B285" s="68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  <x:c r="M285" s="54"/>
      <x:c r="N285" s="54"/>
      <x:c r="O285" s="57" t="str">
        <x:f>IF($C285="","",MAX(0,MIN(100,IFERROR(VLOOKUP($L285,'Lists &amp; Rules'!$P$5:$Q$8,2,FALSE),0)+IFERROR(VLOOKUP($N285,'Lists &amp; Rules'!$S$5:$T$7,2,FALSE),0)+IFERROR(VLOOKUP($M285,'Lists &amp; Rules'!$L$5:$N$13,3,FALSE),0)+IF($R285="Overdue",-10,IF($R285="Today",5,0))+MIN(15,$Z285*3))))</x:f>
      </x:c>
      <x:c r="P285" s="71" t="str">
        <x:f>IF($A285="","",IF(COUNTIF('Activity Log'!$C$6:$C$1005,$A285)=0,"",MAXIFS('Activity Log'!$B$6:$B$1005,'Activity Log'!$C$6:$C$1005,$A285)))</x:f>
      </x:c>
      <x:c r="Q285" s="71" t="str">
        <x:f>IF($A285="","",IF(COUNTIFS('Activity Log'!$C$6:$C$1005,$A285,'Activity Log'!$J$6:$J$1005,"No",'Activity Log'!$I$6:$I$1005,"&gt;0")=0,"",MINIFS('Activity Log'!$I$6:$I$1005,'Activity Log'!$C$6:$C$1005,$A285,'Activity Log'!$J$6:$J$1005,"No",'Activity Log'!$I$6:$I$1005,"&gt;0")))</x:f>
      </x:c>
      <x:c r="R285" s="57" t="str">
        <x:f>IF($C285="","",IF(OR($K285="Won",$K285="Lost",$K285="Disqualified"),"Closed",IF($Q285="","No date",IF(INT($Q285)&lt;TODAY(),"Overdue",IF(INT($Q285)=TODAY(),"Today",IF(INT($Q285)&lt;=TODAY()+7,"Next 7 days","Later"))))))</x:f>
      </x:c>
      <x:c r="S285" s="57" t="str">
        <x:f>IF(OR($C285="",$P285=""),"",TODAY()-INT($P285))</x:f>
      </x:c>
      <x:c r="T285" s="54"/>
      <x:c r="U285" s="54"/>
      <x:c r="V285" s="63"/>
      <x:c r="W285" s="74"/>
      <x:c r="X285" s="77" t="str">
        <x:f>IF($C285="","",IFERROR(VLOOKUP($M285,'Lists &amp; Rules'!$L$5:$N$13,2,FALSE),0))</x:f>
      </x:c>
      <x:c r="Y285" s="80" t="str">
        <x:f>IF(OR($C285="",$W285=""),"",ROUND($W285*$X285,0))</x:f>
      </x:c>
      <x:c r="Z285" s="57" t="str">
        <x:f>IF($A285="","",COUNTIF('Activity Log'!$C$6:$C$1005,$A285))</x:f>
      </x:c>
      <x:c r="AA285" s="68"/>
      <x:c r="AB285" s="63"/>
    </x:row>
    <x:row r="286">
      <x:c r="A286" s="54"/>
      <x:c r="B286" s="68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  <x:c r="M286" s="54"/>
      <x:c r="N286" s="54"/>
      <x:c r="O286" s="57" t="str">
        <x:f>IF($C286="","",MAX(0,MIN(100,IFERROR(VLOOKUP($L286,'Lists &amp; Rules'!$P$5:$Q$8,2,FALSE),0)+IFERROR(VLOOKUP($N286,'Lists &amp; Rules'!$S$5:$T$7,2,FALSE),0)+IFERROR(VLOOKUP($M286,'Lists &amp; Rules'!$L$5:$N$13,3,FALSE),0)+IF($R286="Overdue",-10,IF($R286="Today",5,0))+MIN(15,$Z286*3))))</x:f>
      </x:c>
      <x:c r="P286" s="71" t="str">
        <x:f>IF($A286="","",IF(COUNTIF('Activity Log'!$C$6:$C$1005,$A286)=0,"",MAXIFS('Activity Log'!$B$6:$B$1005,'Activity Log'!$C$6:$C$1005,$A286)))</x:f>
      </x:c>
      <x:c r="Q286" s="71" t="str">
        <x:f>IF($A286="","",IF(COUNTIFS('Activity Log'!$C$6:$C$1005,$A286,'Activity Log'!$J$6:$J$1005,"No",'Activity Log'!$I$6:$I$1005,"&gt;0")=0,"",MINIFS('Activity Log'!$I$6:$I$1005,'Activity Log'!$C$6:$C$1005,$A286,'Activity Log'!$J$6:$J$1005,"No",'Activity Log'!$I$6:$I$1005,"&gt;0")))</x:f>
      </x:c>
      <x:c r="R286" s="57" t="str">
        <x:f>IF($C286="","",IF(OR($K286="Won",$K286="Lost",$K286="Disqualified"),"Closed",IF($Q286="","No date",IF(INT($Q286)&lt;TODAY(),"Overdue",IF(INT($Q286)=TODAY(),"Today",IF(INT($Q286)&lt;=TODAY()+7,"Next 7 days","Later"))))))</x:f>
      </x:c>
      <x:c r="S286" s="57" t="str">
        <x:f>IF(OR($C286="",$P286=""),"",TODAY()-INT($P286))</x:f>
      </x:c>
      <x:c r="T286" s="54"/>
      <x:c r="U286" s="54"/>
      <x:c r="V286" s="63"/>
      <x:c r="W286" s="74"/>
      <x:c r="X286" s="77" t="str">
        <x:f>IF($C286="","",IFERROR(VLOOKUP($M286,'Lists &amp; Rules'!$L$5:$N$13,2,FALSE),0))</x:f>
      </x:c>
      <x:c r="Y286" s="80" t="str">
        <x:f>IF(OR($C286="",$W286=""),"",ROUND($W286*$X286,0))</x:f>
      </x:c>
      <x:c r="Z286" s="57" t="str">
        <x:f>IF($A286="","",COUNTIF('Activity Log'!$C$6:$C$1005,$A286))</x:f>
      </x:c>
      <x:c r="AA286" s="68"/>
      <x:c r="AB286" s="63"/>
    </x:row>
    <x:row r="287">
      <x:c r="A287" s="54"/>
      <x:c r="B287" s="68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  <x:c r="M287" s="54"/>
      <x:c r="N287" s="54"/>
      <x:c r="O287" s="57" t="str">
        <x:f>IF($C287="","",MAX(0,MIN(100,IFERROR(VLOOKUP($L287,'Lists &amp; Rules'!$P$5:$Q$8,2,FALSE),0)+IFERROR(VLOOKUP($N287,'Lists &amp; Rules'!$S$5:$T$7,2,FALSE),0)+IFERROR(VLOOKUP($M287,'Lists &amp; Rules'!$L$5:$N$13,3,FALSE),0)+IF($R287="Overdue",-10,IF($R287="Today",5,0))+MIN(15,$Z287*3))))</x:f>
      </x:c>
      <x:c r="P287" s="71" t="str">
        <x:f>IF($A287="","",IF(COUNTIF('Activity Log'!$C$6:$C$1005,$A287)=0,"",MAXIFS('Activity Log'!$B$6:$B$1005,'Activity Log'!$C$6:$C$1005,$A287)))</x:f>
      </x:c>
      <x:c r="Q287" s="71" t="str">
        <x:f>IF($A287="","",IF(COUNTIFS('Activity Log'!$C$6:$C$1005,$A287,'Activity Log'!$J$6:$J$1005,"No",'Activity Log'!$I$6:$I$1005,"&gt;0")=0,"",MINIFS('Activity Log'!$I$6:$I$1005,'Activity Log'!$C$6:$C$1005,$A287,'Activity Log'!$J$6:$J$1005,"No",'Activity Log'!$I$6:$I$1005,"&gt;0")))</x:f>
      </x:c>
      <x:c r="R287" s="57" t="str">
        <x:f>IF($C287="","",IF(OR($K287="Won",$K287="Lost",$K287="Disqualified"),"Closed",IF($Q287="","No date",IF(INT($Q287)&lt;TODAY(),"Overdue",IF(INT($Q287)=TODAY(),"Today",IF(INT($Q287)&lt;=TODAY()+7,"Next 7 days","Later"))))))</x:f>
      </x:c>
      <x:c r="S287" s="57" t="str">
        <x:f>IF(OR($C287="",$P287=""),"",TODAY()-INT($P287))</x:f>
      </x:c>
      <x:c r="T287" s="54"/>
      <x:c r="U287" s="54"/>
      <x:c r="V287" s="63"/>
      <x:c r="W287" s="74"/>
      <x:c r="X287" s="77" t="str">
        <x:f>IF($C287="","",IFERROR(VLOOKUP($M287,'Lists &amp; Rules'!$L$5:$N$13,2,FALSE),0))</x:f>
      </x:c>
      <x:c r="Y287" s="80" t="str">
        <x:f>IF(OR($C287="",$W287=""),"",ROUND($W287*$X287,0))</x:f>
      </x:c>
      <x:c r="Z287" s="57" t="str">
        <x:f>IF($A287="","",COUNTIF('Activity Log'!$C$6:$C$1005,$A287))</x:f>
      </x:c>
      <x:c r="AA287" s="68"/>
      <x:c r="AB287" s="63"/>
    </x:row>
    <x:row r="288">
      <x:c r="A288" s="54"/>
      <x:c r="B288" s="68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  <x:c r="M288" s="54"/>
      <x:c r="N288" s="54"/>
      <x:c r="O288" s="57" t="str">
        <x:f>IF($C288="","",MAX(0,MIN(100,IFERROR(VLOOKUP($L288,'Lists &amp; Rules'!$P$5:$Q$8,2,FALSE),0)+IFERROR(VLOOKUP($N288,'Lists &amp; Rules'!$S$5:$T$7,2,FALSE),0)+IFERROR(VLOOKUP($M288,'Lists &amp; Rules'!$L$5:$N$13,3,FALSE),0)+IF($R288="Overdue",-10,IF($R288="Today",5,0))+MIN(15,$Z288*3))))</x:f>
      </x:c>
      <x:c r="P288" s="71" t="str">
        <x:f>IF($A288="","",IF(COUNTIF('Activity Log'!$C$6:$C$1005,$A288)=0,"",MAXIFS('Activity Log'!$B$6:$B$1005,'Activity Log'!$C$6:$C$1005,$A288)))</x:f>
      </x:c>
      <x:c r="Q288" s="71" t="str">
        <x:f>IF($A288="","",IF(COUNTIFS('Activity Log'!$C$6:$C$1005,$A288,'Activity Log'!$J$6:$J$1005,"No",'Activity Log'!$I$6:$I$1005,"&gt;0")=0,"",MINIFS('Activity Log'!$I$6:$I$1005,'Activity Log'!$C$6:$C$1005,$A288,'Activity Log'!$J$6:$J$1005,"No",'Activity Log'!$I$6:$I$1005,"&gt;0")))</x:f>
      </x:c>
      <x:c r="R288" s="57" t="str">
        <x:f>IF($C288="","",IF(OR($K288="Won",$K288="Lost",$K288="Disqualified"),"Closed",IF($Q288="","No date",IF(INT($Q288)&lt;TODAY(),"Overdue",IF(INT($Q288)=TODAY(),"Today",IF(INT($Q288)&lt;=TODAY()+7,"Next 7 days","Later"))))))</x:f>
      </x:c>
      <x:c r="S288" s="57" t="str">
        <x:f>IF(OR($C288="",$P288=""),"",TODAY()-INT($P288))</x:f>
      </x:c>
      <x:c r="T288" s="54"/>
      <x:c r="U288" s="54"/>
      <x:c r="V288" s="63"/>
      <x:c r="W288" s="74"/>
      <x:c r="X288" s="77" t="str">
        <x:f>IF($C288="","",IFERROR(VLOOKUP($M288,'Lists &amp; Rules'!$L$5:$N$13,2,FALSE),0))</x:f>
      </x:c>
      <x:c r="Y288" s="80" t="str">
        <x:f>IF(OR($C288="",$W288=""),"",ROUND($W288*$X288,0))</x:f>
      </x:c>
      <x:c r="Z288" s="57" t="str">
        <x:f>IF($A288="","",COUNTIF('Activity Log'!$C$6:$C$1005,$A288))</x:f>
      </x:c>
      <x:c r="AA288" s="68"/>
      <x:c r="AB288" s="63"/>
    </x:row>
    <x:row r="289">
      <x:c r="A289" s="54"/>
      <x:c r="B289" s="68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  <x:c r="M289" s="54"/>
      <x:c r="N289" s="54"/>
      <x:c r="O289" s="57" t="str">
        <x:f>IF($C289="","",MAX(0,MIN(100,IFERROR(VLOOKUP($L289,'Lists &amp; Rules'!$P$5:$Q$8,2,FALSE),0)+IFERROR(VLOOKUP($N289,'Lists &amp; Rules'!$S$5:$T$7,2,FALSE),0)+IFERROR(VLOOKUP($M289,'Lists &amp; Rules'!$L$5:$N$13,3,FALSE),0)+IF($R289="Overdue",-10,IF($R289="Today",5,0))+MIN(15,$Z289*3))))</x:f>
      </x:c>
      <x:c r="P289" s="71" t="str">
        <x:f>IF($A289="","",IF(COUNTIF('Activity Log'!$C$6:$C$1005,$A289)=0,"",MAXIFS('Activity Log'!$B$6:$B$1005,'Activity Log'!$C$6:$C$1005,$A289)))</x:f>
      </x:c>
      <x:c r="Q289" s="71" t="str">
        <x:f>IF($A289="","",IF(COUNTIFS('Activity Log'!$C$6:$C$1005,$A289,'Activity Log'!$J$6:$J$1005,"No",'Activity Log'!$I$6:$I$1005,"&gt;0")=0,"",MINIFS('Activity Log'!$I$6:$I$1005,'Activity Log'!$C$6:$C$1005,$A289,'Activity Log'!$J$6:$J$1005,"No",'Activity Log'!$I$6:$I$1005,"&gt;0")))</x:f>
      </x:c>
      <x:c r="R289" s="57" t="str">
        <x:f>IF($C289="","",IF(OR($K289="Won",$K289="Lost",$K289="Disqualified"),"Closed",IF($Q289="","No date",IF(INT($Q289)&lt;TODAY(),"Overdue",IF(INT($Q289)=TODAY(),"Today",IF(INT($Q289)&lt;=TODAY()+7,"Next 7 days","Later"))))))</x:f>
      </x:c>
      <x:c r="S289" s="57" t="str">
        <x:f>IF(OR($C289="",$P289=""),"",TODAY()-INT($P289))</x:f>
      </x:c>
      <x:c r="T289" s="54"/>
      <x:c r="U289" s="54"/>
      <x:c r="V289" s="63"/>
      <x:c r="W289" s="74"/>
      <x:c r="X289" s="77" t="str">
        <x:f>IF($C289="","",IFERROR(VLOOKUP($M289,'Lists &amp; Rules'!$L$5:$N$13,2,FALSE),0))</x:f>
      </x:c>
      <x:c r="Y289" s="80" t="str">
        <x:f>IF(OR($C289="",$W289=""),"",ROUND($W289*$X289,0))</x:f>
      </x:c>
      <x:c r="Z289" s="57" t="str">
        <x:f>IF($A289="","",COUNTIF('Activity Log'!$C$6:$C$1005,$A289))</x:f>
      </x:c>
      <x:c r="AA289" s="68"/>
      <x:c r="AB289" s="63"/>
    </x:row>
    <x:row r="290">
      <x:c r="A290" s="54"/>
      <x:c r="B290" s="68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  <x:c r="M290" s="54"/>
      <x:c r="N290" s="54"/>
      <x:c r="O290" s="57" t="str">
        <x:f>IF($C290="","",MAX(0,MIN(100,IFERROR(VLOOKUP($L290,'Lists &amp; Rules'!$P$5:$Q$8,2,FALSE),0)+IFERROR(VLOOKUP($N290,'Lists &amp; Rules'!$S$5:$T$7,2,FALSE),0)+IFERROR(VLOOKUP($M290,'Lists &amp; Rules'!$L$5:$N$13,3,FALSE),0)+IF($R290="Overdue",-10,IF($R290="Today",5,0))+MIN(15,$Z290*3))))</x:f>
      </x:c>
      <x:c r="P290" s="71" t="str">
        <x:f>IF($A290="","",IF(COUNTIF('Activity Log'!$C$6:$C$1005,$A290)=0,"",MAXIFS('Activity Log'!$B$6:$B$1005,'Activity Log'!$C$6:$C$1005,$A290)))</x:f>
      </x:c>
      <x:c r="Q290" s="71" t="str">
        <x:f>IF($A290="","",IF(COUNTIFS('Activity Log'!$C$6:$C$1005,$A290,'Activity Log'!$J$6:$J$1005,"No",'Activity Log'!$I$6:$I$1005,"&gt;0")=0,"",MINIFS('Activity Log'!$I$6:$I$1005,'Activity Log'!$C$6:$C$1005,$A290,'Activity Log'!$J$6:$J$1005,"No",'Activity Log'!$I$6:$I$1005,"&gt;0")))</x:f>
      </x:c>
      <x:c r="R290" s="57" t="str">
        <x:f>IF($C290="","",IF(OR($K290="Won",$K290="Lost",$K290="Disqualified"),"Closed",IF($Q290="","No date",IF(INT($Q290)&lt;TODAY(),"Overdue",IF(INT($Q290)=TODAY(),"Today",IF(INT($Q290)&lt;=TODAY()+7,"Next 7 days","Later"))))))</x:f>
      </x:c>
      <x:c r="S290" s="57" t="str">
        <x:f>IF(OR($C290="",$P290=""),"",TODAY()-INT($P290))</x:f>
      </x:c>
      <x:c r="T290" s="54"/>
      <x:c r="U290" s="54"/>
      <x:c r="V290" s="63"/>
      <x:c r="W290" s="74"/>
      <x:c r="X290" s="77" t="str">
        <x:f>IF($C290="","",IFERROR(VLOOKUP($M290,'Lists &amp; Rules'!$L$5:$N$13,2,FALSE),0))</x:f>
      </x:c>
      <x:c r="Y290" s="80" t="str">
        <x:f>IF(OR($C290="",$W290=""),"",ROUND($W290*$X290,0))</x:f>
      </x:c>
      <x:c r="Z290" s="57" t="str">
        <x:f>IF($A290="","",COUNTIF('Activity Log'!$C$6:$C$1005,$A290))</x:f>
      </x:c>
      <x:c r="AA290" s="68"/>
      <x:c r="AB290" s="63"/>
    </x:row>
    <x:row r="291">
      <x:c r="A291" s="54"/>
      <x:c r="B291" s="68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  <x:c r="M291" s="54"/>
      <x:c r="N291" s="54"/>
      <x:c r="O291" s="57" t="str">
        <x:f>IF($C291="","",MAX(0,MIN(100,IFERROR(VLOOKUP($L291,'Lists &amp; Rules'!$P$5:$Q$8,2,FALSE),0)+IFERROR(VLOOKUP($N291,'Lists &amp; Rules'!$S$5:$T$7,2,FALSE),0)+IFERROR(VLOOKUP($M291,'Lists &amp; Rules'!$L$5:$N$13,3,FALSE),0)+IF($R291="Overdue",-10,IF($R291="Today",5,0))+MIN(15,$Z291*3))))</x:f>
      </x:c>
      <x:c r="P291" s="71" t="str">
        <x:f>IF($A291="","",IF(COUNTIF('Activity Log'!$C$6:$C$1005,$A291)=0,"",MAXIFS('Activity Log'!$B$6:$B$1005,'Activity Log'!$C$6:$C$1005,$A291)))</x:f>
      </x:c>
      <x:c r="Q291" s="71" t="str">
        <x:f>IF($A291="","",IF(COUNTIFS('Activity Log'!$C$6:$C$1005,$A291,'Activity Log'!$J$6:$J$1005,"No",'Activity Log'!$I$6:$I$1005,"&gt;0")=0,"",MINIFS('Activity Log'!$I$6:$I$1005,'Activity Log'!$C$6:$C$1005,$A291,'Activity Log'!$J$6:$J$1005,"No",'Activity Log'!$I$6:$I$1005,"&gt;0")))</x:f>
      </x:c>
      <x:c r="R291" s="57" t="str">
        <x:f>IF($C291="","",IF(OR($K291="Won",$K291="Lost",$K291="Disqualified"),"Closed",IF($Q291="","No date",IF(INT($Q291)&lt;TODAY(),"Overdue",IF(INT($Q291)=TODAY(),"Today",IF(INT($Q291)&lt;=TODAY()+7,"Next 7 days","Later"))))))</x:f>
      </x:c>
      <x:c r="S291" s="57" t="str">
        <x:f>IF(OR($C291="",$P291=""),"",TODAY()-INT($P291))</x:f>
      </x:c>
      <x:c r="T291" s="54"/>
      <x:c r="U291" s="54"/>
      <x:c r="V291" s="63"/>
      <x:c r="W291" s="74"/>
      <x:c r="X291" s="77" t="str">
        <x:f>IF($C291="","",IFERROR(VLOOKUP($M291,'Lists &amp; Rules'!$L$5:$N$13,2,FALSE),0))</x:f>
      </x:c>
      <x:c r="Y291" s="80" t="str">
        <x:f>IF(OR($C291="",$W291=""),"",ROUND($W291*$X291,0))</x:f>
      </x:c>
      <x:c r="Z291" s="57" t="str">
        <x:f>IF($A291="","",COUNTIF('Activity Log'!$C$6:$C$1005,$A291))</x:f>
      </x:c>
      <x:c r="AA291" s="68"/>
      <x:c r="AB291" s="63"/>
    </x:row>
    <x:row r="292">
      <x:c r="A292" s="54"/>
      <x:c r="B292" s="68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  <x:c r="M292" s="54"/>
      <x:c r="N292" s="54"/>
      <x:c r="O292" s="57" t="str">
        <x:f>IF($C292="","",MAX(0,MIN(100,IFERROR(VLOOKUP($L292,'Lists &amp; Rules'!$P$5:$Q$8,2,FALSE),0)+IFERROR(VLOOKUP($N292,'Lists &amp; Rules'!$S$5:$T$7,2,FALSE),0)+IFERROR(VLOOKUP($M292,'Lists &amp; Rules'!$L$5:$N$13,3,FALSE),0)+IF($R292="Overdue",-10,IF($R292="Today",5,0))+MIN(15,$Z292*3))))</x:f>
      </x:c>
      <x:c r="P292" s="71" t="str">
        <x:f>IF($A292="","",IF(COUNTIF('Activity Log'!$C$6:$C$1005,$A292)=0,"",MAXIFS('Activity Log'!$B$6:$B$1005,'Activity Log'!$C$6:$C$1005,$A292)))</x:f>
      </x:c>
      <x:c r="Q292" s="71" t="str">
        <x:f>IF($A292="","",IF(COUNTIFS('Activity Log'!$C$6:$C$1005,$A292,'Activity Log'!$J$6:$J$1005,"No",'Activity Log'!$I$6:$I$1005,"&gt;0")=0,"",MINIFS('Activity Log'!$I$6:$I$1005,'Activity Log'!$C$6:$C$1005,$A292,'Activity Log'!$J$6:$J$1005,"No",'Activity Log'!$I$6:$I$1005,"&gt;0")))</x:f>
      </x:c>
      <x:c r="R292" s="57" t="str">
        <x:f>IF($C292="","",IF(OR($K292="Won",$K292="Lost",$K292="Disqualified"),"Closed",IF($Q292="","No date",IF(INT($Q292)&lt;TODAY(),"Overdue",IF(INT($Q292)=TODAY(),"Today",IF(INT($Q292)&lt;=TODAY()+7,"Next 7 days","Later"))))))</x:f>
      </x:c>
      <x:c r="S292" s="57" t="str">
        <x:f>IF(OR($C292="",$P292=""),"",TODAY()-INT($P292))</x:f>
      </x:c>
      <x:c r="T292" s="54"/>
      <x:c r="U292" s="54"/>
      <x:c r="V292" s="63"/>
      <x:c r="W292" s="74"/>
      <x:c r="X292" s="77" t="str">
        <x:f>IF($C292="","",IFERROR(VLOOKUP($M292,'Lists &amp; Rules'!$L$5:$N$13,2,FALSE),0))</x:f>
      </x:c>
      <x:c r="Y292" s="80" t="str">
        <x:f>IF(OR($C292="",$W292=""),"",ROUND($W292*$X292,0))</x:f>
      </x:c>
      <x:c r="Z292" s="57" t="str">
        <x:f>IF($A292="","",COUNTIF('Activity Log'!$C$6:$C$1005,$A292))</x:f>
      </x:c>
      <x:c r="AA292" s="68"/>
      <x:c r="AB292" s="63"/>
    </x:row>
    <x:row r="293">
      <x:c r="A293" s="54"/>
      <x:c r="B293" s="68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  <x:c r="M293" s="54"/>
      <x:c r="N293" s="54"/>
      <x:c r="O293" s="57" t="str">
        <x:f>IF($C293="","",MAX(0,MIN(100,IFERROR(VLOOKUP($L293,'Lists &amp; Rules'!$P$5:$Q$8,2,FALSE),0)+IFERROR(VLOOKUP($N293,'Lists &amp; Rules'!$S$5:$T$7,2,FALSE),0)+IFERROR(VLOOKUP($M293,'Lists &amp; Rules'!$L$5:$N$13,3,FALSE),0)+IF($R293="Overdue",-10,IF($R293="Today",5,0))+MIN(15,$Z293*3))))</x:f>
      </x:c>
      <x:c r="P293" s="71" t="str">
        <x:f>IF($A293="","",IF(COUNTIF('Activity Log'!$C$6:$C$1005,$A293)=0,"",MAXIFS('Activity Log'!$B$6:$B$1005,'Activity Log'!$C$6:$C$1005,$A293)))</x:f>
      </x:c>
      <x:c r="Q293" s="71" t="str">
        <x:f>IF($A293="","",IF(COUNTIFS('Activity Log'!$C$6:$C$1005,$A293,'Activity Log'!$J$6:$J$1005,"No",'Activity Log'!$I$6:$I$1005,"&gt;0")=0,"",MINIFS('Activity Log'!$I$6:$I$1005,'Activity Log'!$C$6:$C$1005,$A293,'Activity Log'!$J$6:$J$1005,"No",'Activity Log'!$I$6:$I$1005,"&gt;0")))</x:f>
      </x:c>
      <x:c r="R293" s="57" t="str">
        <x:f>IF($C293="","",IF(OR($K293="Won",$K293="Lost",$K293="Disqualified"),"Closed",IF($Q293="","No date",IF(INT($Q293)&lt;TODAY(),"Overdue",IF(INT($Q293)=TODAY(),"Today",IF(INT($Q293)&lt;=TODAY()+7,"Next 7 days","Later"))))))</x:f>
      </x:c>
      <x:c r="S293" s="57" t="str">
        <x:f>IF(OR($C293="",$P293=""),"",TODAY()-INT($P293))</x:f>
      </x:c>
      <x:c r="T293" s="54"/>
      <x:c r="U293" s="54"/>
      <x:c r="V293" s="63"/>
      <x:c r="W293" s="74"/>
      <x:c r="X293" s="77" t="str">
        <x:f>IF($C293="","",IFERROR(VLOOKUP($M293,'Lists &amp; Rules'!$L$5:$N$13,2,FALSE),0))</x:f>
      </x:c>
      <x:c r="Y293" s="80" t="str">
        <x:f>IF(OR($C293="",$W293=""),"",ROUND($W293*$X293,0))</x:f>
      </x:c>
      <x:c r="Z293" s="57" t="str">
        <x:f>IF($A293="","",COUNTIF('Activity Log'!$C$6:$C$1005,$A293))</x:f>
      </x:c>
      <x:c r="AA293" s="68"/>
      <x:c r="AB293" s="63"/>
    </x:row>
    <x:row r="294">
      <x:c r="A294" s="54"/>
      <x:c r="B294" s="68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  <x:c r="M294" s="54"/>
      <x:c r="N294" s="54"/>
      <x:c r="O294" s="57" t="str">
        <x:f>IF($C294="","",MAX(0,MIN(100,IFERROR(VLOOKUP($L294,'Lists &amp; Rules'!$P$5:$Q$8,2,FALSE),0)+IFERROR(VLOOKUP($N294,'Lists &amp; Rules'!$S$5:$T$7,2,FALSE),0)+IFERROR(VLOOKUP($M294,'Lists &amp; Rules'!$L$5:$N$13,3,FALSE),0)+IF($R294="Overdue",-10,IF($R294="Today",5,0))+MIN(15,$Z294*3))))</x:f>
      </x:c>
      <x:c r="P294" s="71" t="str">
        <x:f>IF($A294="","",IF(COUNTIF('Activity Log'!$C$6:$C$1005,$A294)=0,"",MAXIFS('Activity Log'!$B$6:$B$1005,'Activity Log'!$C$6:$C$1005,$A294)))</x:f>
      </x:c>
      <x:c r="Q294" s="71" t="str">
        <x:f>IF($A294="","",IF(COUNTIFS('Activity Log'!$C$6:$C$1005,$A294,'Activity Log'!$J$6:$J$1005,"No",'Activity Log'!$I$6:$I$1005,"&gt;0")=0,"",MINIFS('Activity Log'!$I$6:$I$1005,'Activity Log'!$C$6:$C$1005,$A294,'Activity Log'!$J$6:$J$1005,"No",'Activity Log'!$I$6:$I$1005,"&gt;0")))</x:f>
      </x:c>
      <x:c r="R294" s="57" t="str">
        <x:f>IF($C294="","",IF(OR($K294="Won",$K294="Lost",$K294="Disqualified"),"Closed",IF($Q294="","No date",IF(INT($Q294)&lt;TODAY(),"Overdue",IF(INT($Q294)=TODAY(),"Today",IF(INT($Q294)&lt;=TODAY()+7,"Next 7 days","Later"))))))</x:f>
      </x:c>
      <x:c r="S294" s="57" t="str">
        <x:f>IF(OR($C294="",$P294=""),"",TODAY()-INT($P294))</x:f>
      </x:c>
      <x:c r="T294" s="54"/>
      <x:c r="U294" s="54"/>
      <x:c r="V294" s="63"/>
      <x:c r="W294" s="74"/>
      <x:c r="X294" s="77" t="str">
        <x:f>IF($C294="","",IFERROR(VLOOKUP($M294,'Lists &amp; Rules'!$L$5:$N$13,2,FALSE),0))</x:f>
      </x:c>
      <x:c r="Y294" s="80" t="str">
        <x:f>IF(OR($C294="",$W294=""),"",ROUND($W294*$X294,0))</x:f>
      </x:c>
      <x:c r="Z294" s="57" t="str">
        <x:f>IF($A294="","",COUNTIF('Activity Log'!$C$6:$C$1005,$A294))</x:f>
      </x:c>
      <x:c r="AA294" s="68"/>
      <x:c r="AB294" s="63"/>
    </x:row>
    <x:row r="295">
      <x:c r="A295" s="54"/>
      <x:c r="B295" s="68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  <x:c r="M295" s="54"/>
      <x:c r="N295" s="54"/>
      <x:c r="O295" s="57" t="str">
        <x:f>IF($C295="","",MAX(0,MIN(100,IFERROR(VLOOKUP($L295,'Lists &amp; Rules'!$P$5:$Q$8,2,FALSE),0)+IFERROR(VLOOKUP($N295,'Lists &amp; Rules'!$S$5:$T$7,2,FALSE),0)+IFERROR(VLOOKUP($M295,'Lists &amp; Rules'!$L$5:$N$13,3,FALSE),0)+IF($R295="Overdue",-10,IF($R295="Today",5,0))+MIN(15,$Z295*3))))</x:f>
      </x:c>
      <x:c r="P295" s="71" t="str">
        <x:f>IF($A295="","",IF(COUNTIF('Activity Log'!$C$6:$C$1005,$A295)=0,"",MAXIFS('Activity Log'!$B$6:$B$1005,'Activity Log'!$C$6:$C$1005,$A295)))</x:f>
      </x:c>
      <x:c r="Q295" s="71" t="str">
        <x:f>IF($A295="","",IF(COUNTIFS('Activity Log'!$C$6:$C$1005,$A295,'Activity Log'!$J$6:$J$1005,"No",'Activity Log'!$I$6:$I$1005,"&gt;0")=0,"",MINIFS('Activity Log'!$I$6:$I$1005,'Activity Log'!$C$6:$C$1005,$A295,'Activity Log'!$J$6:$J$1005,"No",'Activity Log'!$I$6:$I$1005,"&gt;0")))</x:f>
      </x:c>
      <x:c r="R295" s="57" t="str">
        <x:f>IF($C295="","",IF(OR($K295="Won",$K295="Lost",$K295="Disqualified"),"Closed",IF($Q295="","No date",IF(INT($Q295)&lt;TODAY(),"Overdue",IF(INT($Q295)=TODAY(),"Today",IF(INT($Q295)&lt;=TODAY()+7,"Next 7 days","Later"))))))</x:f>
      </x:c>
      <x:c r="S295" s="57" t="str">
        <x:f>IF(OR($C295="",$P295=""),"",TODAY()-INT($P295))</x:f>
      </x:c>
      <x:c r="T295" s="54"/>
      <x:c r="U295" s="54"/>
      <x:c r="V295" s="63"/>
      <x:c r="W295" s="74"/>
      <x:c r="X295" s="77" t="str">
        <x:f>IF($C295="","",IFERROR(VLOOKUP($M295,'Lists &amp; Rules'!$L$5:$N$13,2,FALSE),0))</x:f>
      </x:c>
      <x:c r="Y295" s="80" t="str">
        <x:f>IF(OR($C295="",$W295=""),"",ROUND($W295*$X295,0))</x:f>
      </x:c>
      <x:c r="Z295" s="57" t="str">
        <x:f>IF($A295="","",COUNTIF('Activity Log'!$C$6:$C$1005,$A295))</x:f>
      </x:c>
      <x:c r="AA295" s="68"/>
      <x:c r="AB295" s="63"/>
    </x:row>
    <x:row r="296">
      <x:c r="A296" s="54"/>
      <x:c r="B296" s="68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  <x:c r="M296" s="54"/>
      <x:c r="N296" s="54"/>
      <x:c r="O296" s="57" t="str">
        <x:f>IF($C296="","",MAX(0,MIN(100,IFERROR(VLOOKUP($L296,'Lists &amp; Rules'!$P$5:$Q$8,2,FALSE),0)+IFERROR(VLOOKUP($N296,'Lists &amp; Rules'!$S$5:$T$7,2,FALSE),0)+IFERROR(VLOOKUP($M296,'Lists &amp; Rules'!$L$5:$N$13,3,FALSE),0)+IF($R296="Overdue",-10,IF($R296="Today",5,0))+MIN(15,$Z296*3))))</x:f>
      </x:c>
      <x:c r="P296" s="71" t="str">
        <x:f>IF($A296="","",IF(COUNTIF('Activity Log'!$C$6:$C$1005,$A296)=0,"",MAXIFS('Activity Log'!$B$6:$B$1005,'Activity Log'!$C$6:$C$1005,$A296)))</x:f>
      </x:c>
      <x:c r="Q296" s="71" t="str">
        <x:f>IF($A296="","",IF(COUNTIFS('Activity Log'!$C$6:$C$1005,$A296,'Activity Log'!$J$6:$J$1005,"No",'Activity Log'!$I$6:$I$1005,"&gt;0")=0,"",MINIFS('Activity Log'!$I$6:$I$1005,'Activity Log'!$C$6:$C$1005,$A296,'Activity Log'!$J$6:$J$1005,"No",'Activity Log'!$I$6:$I$1005,"&gt;0")))</x:f>
      </x:c>
      <x:c r="R296" s="57" t="str">
        <x:f>IF($C296="","",IF(OR($K296="Won",$K296="Lost",$K296="Disqualified"),"Closed",IF($Q296="","No date",IF(INT($Q296)&lt;TODAY(),"Overdue",IF(INT($Q296)=TODAY(),"Today",IF(INT($Q296)&lt;=TODAY()+7,"Next 7 days","Later"))))))</x:f>
      </x:c>
      <x:c r="S296" s="57" t="str">
        <x:f>IF(OR($C296="",$P296=""),"",TODAY()-INT($P296))</x:f>
      </x:c>
      <x:c r="T296" s="54"/>
      <x:c r="U296" s="54"/>
      <x:c r="V296" s="63"/>
      <x:c r="W296" s="74"/>
      <x:c r="X296" s="77" t="str">
        <x:f>IF($C296="","",IFERROR(VLOOKUP($M296,'Lists &amp; Rules'!$L$5:$N$13,2,FALSE),0))</x:f>
      </x:c>
      <x:c r="Y296" s="80" t="str">
        <x:f>IF(OR($C296="",$W296=""),"",ROUND($W296*$X296,0))</x:f>
      </x:c>
      <x:c r="Z296" s="57" t="str">
        <x:f>IF($A296="","",COUNTIF('Activity Log'!$C$6:$C$1005,$A296))</x:f>
      </x:c>
      <x:c r="AA296" s="68"/>
      <x:c r="AB296" s="63"/>
    </x:row>
    <x:row r="297">
      <x:c r="A297" s="54"/>
      <x:c r="B297" s="68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  <x:c r="M297" s="54"/>
      <x:c r="N297" s="54"/>
      <x:c r="O297" s="57" t="str">
        <x:f>IF($C297="","",MAX(0,MIN(100,IFERROR(VLOOKUP($L297,'Lists &amp; Rules'!$P$5:$Q$8,2,FALSE),0)+IFERROR(VLOOKUP($N297,'Lists &amp; Rules'!$S$5:$T$7,2,FALSE),0)+IFERROR(VLOOKUP($M297,'Lists &amp; Rules'!$L$5:$N$13,3,FALSE),0)+IF($R297="Overdue",-10,IF($R297="Today",5,0))+MIN(15,$Z297*3))))</x:f>
      </x:c>
      <x:c r="P297" s="71" t="str">
        <x:f>IF($A297="","",IF(COUNTIF('Activity Log'!$C$6:$C$1005,$A297)=0,"",MAXIFS('Activity Log'!$B$6:$B$1005,'Activity Log'!$C$6:$C$1005,$A297)))</x:f>
      </x:c>
      <x:c r="Q297" s="71" t="str">
        <x:f>IF($A297="","",IF(COUNTIFS('Activity Log'!$C$6:$C$1005,$A297,'Activity Log'!$J$6:$J$1005,"No",'Activity Log'!$I$6:$I$1005,"&gt;0")=0,"",MINIFS('Activity Log'!$I$6:$I$1005,'Activity Log'!$C$6:$C$1005,$A297,'Activity Log'!$J$6:$J$1005,"No",'Activity Log'!$I$6:$I$1005,"&gt;0")))</x:f>
      </x:c>
      <x:c r="R297" s="57" t="str">
        <x:f>IF($C297="","",IF(OR($K297="Won",$K297="Lost",$K297="Disqualified"),"Closed",IF($Q297="","No date",IF(INT($Q297)&lt;TODAY(),"Overdue",IF(INT($Q297)=TODAY(),"Today",IF(INT($Q297)&lt;=TODAY()+7,"Next 7 days","Later"))))))</x:f>
      </x:c>
      <x:c r="S297" s="57" t="str">
        <x:f>IF(OR($C297="",$P297=""),"",TODAY()-INT($P297))</x:f>
      </x:c>
      <x:c r="T297" s="54"/>
      <x:c r="U297" s="54"/>
      <x:c r="V297" s="63"/>
      <x:c r="W297" s="74"/>
      <x:c r="X297" s="77" t="str">
        <x:f>IF($C297="","",IFERROR(VLOOKUP($M297,'Lists &amp; Rules'!$L$5:$N$13,2,FALSE),0))</x:f>
      </x:c>
      <x:c r="Y297" s="80" t="str">
        <x:f>IF(OR($C297="",$W297=""),"",ROUND($W297*$X297,0))</x:f>
      </x:c>
      <x:c r="Z297" s="57" t="str">
        <x:f>IF($A297="","",COUNTIF('Activity Log'!$C$6:$C$1005,$A297))</x:f>
      </x:c>
      <x:c r="AA297" s="68"/>
      <x:c r="AB297" s="63"/>
    </x:row>
    <x:row r="298">
      <x:c r="A298" s="54"/>
      <x:c r="B298" s="68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  <x:c r="M298" s="54"/>
      <x:c r="N298" s="54"/>
      <x:c r="O298" s="57" t="str">
        <x:f>IF($C298="","",MAX(0,MIN(100,IFERROR(VLOOKUP($L298,'Lists &amp; Rules'!$P$5:$Q$8,2,FALSE),0)+IFERROR(VLOOKUP($N298,'Lists &amp; Rules'!$S$5:$T$7,2,FALSE),0)+IFERROR(VLOOKUP($M298,'Lists &amp; Rules'!$L$5:$N$13,3,FALSE),0)+IF($R298="Overdue",-10,IF($R298="Today",5,0))+MIN(15,$Z298*3))))</x:f>
      </x:c>
      <x:c r="P298" s="71" t="str">
        <x:f>IF($A298="","",IF(COUNTIF('Activity Log'!$C$6:$C$1005,$A298)=0,"",MAXIFS('Activity Log'!$B$6:$B$1005,'Activity Log'!$C$6:$C$1005,$A298)))</x:f>
      </x:c>
      <x:c r="Q298" s="71" t="str">
        <x:f>IF($A298="","",IF(COUNTIFS('Activity Log'!$C$6:$C$1005,$A298,'Activity Log'!$J$6:$J$1005,"No",'Activity Log'!$I$6:$I$1005,"&gt;0")=0,"",MINIFS('Activity Log'!$I$6:$I$1005,'Activity Log'!$C$6:$C$1005,$A298,'Activity Log'!$J$6:$J$1005,"No",'Activity Log'!$I$6:$I$1005,"&gt;0")))</x:f>
      </x:c>
      <x:c r="R298" s="57" t="str">
        <x:f>IF($C298="","",IF(OR($K298="Won",$K298="Lost",$K298="Disqualified"),"Closed",IF($Q298="","No date",IF(INT($Q298)&lt;TODAY(),"Overdue",IF(INT($Q298)=TODAY(),"Today",IF(INT($Q298)&lt;=TODAY()+7,"Next 7 days","Later"))))))</x:f>
      </x:c>
      <x:c r="S298" s="57" t="str">
        <x:f>IF(OR($C298="",$P298=""),"",TODAY()-INT($P298))</x:f>
      </x:c>
      <x:c r="T298" s="54"/>
      <x:c r="U298" s="54"/>
      <x:c r="V298" s="63"/>
      <x:c r="W298" s="74"/>
      <x:c r="X298" s="77" t="str">
        <x:f>IF($C298="","",IFERROR(VLOOKUP($M298,'Lists &amp; Rules'!$L$5:$N$13,2,FALSE),0))</x:f>
      </x:c>
      <x:c r="Y298" s="80" t="str">
        <x:f>IF(OR($C298="",$W298=""),"",ROUND($W298*$X298,0))</x:f>
      </x:c>
      <x:c r="Z298" s="57" t="str">
        <x:f>IF($A298="","",COUNTIF('Activity Log'!$C$6:$C$1005,$A298))</x:f>
      </x:c>
      <x:c r="AA298" s="68"/>
      <x:c r="AB298" s="63"/>
    </x:row>
    <x:row r="299">
      <x:c r="A299" s="54"/>
      <x:c r="B299" s="68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  <x:c r="M299" s="54"/>
      <x:c r="N299" s="54"/>
      <x:c r="O299" s="57" t="str">
        <x:f>IF($C299="","",MAX(0,MIN(100,IFERROR(VLOOKUP($L299,'Lists &amp; Rules'!$P$5:$Q$8,2,FALSE),0)+IFERROR(VLOOKUP($N299,'Lists &amp; Rules'!$S$5:$T$7,2,FALSE),0)+IFERROR(VLOOKUP($M299,'Lists &amp; Rules'!$L$5:$N$13,3,FALSE),0)+IF($R299="Overdue",-10,IF($R299="Today",5,0))+MIN(15,$Z299*3))))</x:f>
      </x:c>
      <x:c r="P299" s="71" t="str">
        <x:f>IF($A299="","",IF(COUNTIF('Activity Log'!$C$6:$C$1005,$A299)=0,"",MAXIFS('Activity Log'!$B$6:$B$1005,'Activity Log'!$C$6:$C$1005,$A299)))</x:f>
      </x:c>
      <x:c r="Q299" s="71" t="str">
        <x:f>IF($A299="","",IF(COUNTIFS('Activity Log'!$C$6:$C$1005,$A299,'Activity Log'!$J$6:$J$1005,"No",'Activity Log'!$I$6:$I$1005,"&gt;0")=0,"",MINIFS('Activity Log'!$I$6:$I$1005,'Activity Log'!$C$6:$C$1005,$A299,'Activity Log'!$J$6:$J$1005,"No",'Activity Log'!$I$6:$I$1005,"&gt;0")))</x:f>
      </x:c>
      <x:c r="R299" s="57" t="str">
        <x:f>IF($C299="","",IF(OR($K299="Won",$K299="Lost",$K299="Disqualified"),"Closed",IF($Q299="","No date",IF(INT($Q299)&lt;TODAY(),"Overdue",IF(INT($Q299)=TODAY(),"Today",IF(INT($Q299)&lt;=TODAY()+7,"Next 7 days","Later"))))))</x:f>
      </x:c>
      <x:c r="S299" s="57" t="str">
        <x:f>IF(OR($C299="",$P299=""),"",TODAY()-INT($P299))</x:f>
      </x:c>
      <x:c r="T299" s="54"/>
      <x:c r="U299" s="54"/>
      <x:c r="V299" s="63"/>
      <x:c r="W299" s="74"/>
      <x:c r="X299" s="77" t="str">
        <x:f>IF($C299="","",IFERROR(VLOOKUP($M299,'Lists &amp; Rules'!$L$5:$N$13,2,FALSE),0))</x:f>
      </x:c>
      <x:c r="Y299" s="80" t="str">
        <x:f>IF(OR($C299="",$W299=""),"",ROUND($W299*$X299,0))</x:f>
      </x:c>
      <x:c r="Z299" s="57" t="str">
        <x:f>IF($A299="","",COUNTIF('Activity Log'!$C$6:$C$1005,$A299))</x:f>
      </x:c>
      <x:c r="AA299" s="68"/>
      <x:c r="AB299" s="63"/>
    </x:row>
    <x:row r="300">
      <x:c r="A300" s="54"/>
      <x:c r="B300" s="68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  <x:c r="M300" s="54"/>
      <x:c r="N300" s="54"/>
      <x:c r="O300" s="57" t="str">
        <x:f>IF($C300="","",MAX(0,MIN(100,IFERROR(VLOOKUP($L300,'Lists &amp; Rules'!$P$5:$Q$8,2,FALSE),0)+IFERROR(VLOOKUP($N300,'Lists &amp; Rules'!$S$5:$T$7,2,FALSE),0)+IFERROR(VLOOKUP($M300,'Lists &amp; Rules'!$L$5:$N$13,3,FALSE),0)+IF($R300="Overdue",-10,IF($R300="Today",5,0))+MIN(15,$Z300*3))))</x:f>
      </x:c>
      <x:c r="P300" s="71" t="str">
        <x:f>IF($A300="","",IF(COUNTIF('Activity Log'!$C$6:$C$1005,$A300)=0,"",MAXIFS('Activity Log'!$B$6:$B$1005,'Activity Log'!$C$6:$C$1005,$A300)))</x:f>
      </x:c>
      <x:c r="Q300" s="71" t="str">
        <x:f>IF($A300="","",IF(COUNTIFS('Activity Log'!$C$6:$C$1005,$A300,'Activity Log'!$J$6:$J$1005,"No",'Activity Log'!$I$6:$I$1005,"&gt;0")=0,"",MINIFS('Activity Log'!$I$6:$I$1005,'Activity Log'!$C$6:$C$1005,$A300,'Activity Log'!$J$6:$J$1005,"No",'Activity Log'!$I$6:$I$1005,"&gt;0")))</x:f>
      </x:c>
      <x:c r="R300" s="57" t="str">
        <x:f>IF($C300="","",IF(OR($K300="Won",$K300="Lost",$K300="Disqualified"),"Closed",IF($Q300="","No date",IF(INT($Q300)&lt;TODAY(),"Overdue",IF(INT($Q300)=TODAY(),"Today",IF(INT($Q300)&lt;=TODAY()+7,"Next 7 days","Later"))))))</x:f>
      </x:c>
      <x:c r="S300" s="57" t="str">
        <x:f>IF(OR($C300="",$P300=""),"",TODAY()-INT($P300))</x:f>
      </x:c>
      <x:c r="T300" s="54"/>
      <x:c r="U300" s="54"/>
      <x:c r="V300" s="63"/>
      <x:c r="W300" s="74"/>
      <x:c r="X300" s="77" t="str">
        <x:f>IF($C300="","",IFERROR(VLOOKUP($M300,'Lists &amp; Rules'!$L$5:$N$13,2,FALSE),0))</x:f>
      </x:c>
      <x:c r="Y300" s="80" t="str">
        <x:f>IF(OR($C300="",$W300=""),"",ROUND($W300*$X300,0))</x:f>
      </x:c>
      <x:c r="Z300" s="57" t="str">
        <x:f>IF($A300="","",COUNTIF('Activity Log'!$C$6:$C$1005,$A300))</x:f>
      </x:c>
      <x:c r="AA300" s="68"/>
      <x:c r="AB300" s="63"/>
    </x:row>
    <x:row r="301">
      <x:c r="A301" s="54"/>
      <x:c r="B301" s="68"/>
      <x:c r="C301" s="54"/>
      <x:c r="D301" s="54"/>
      <x:c r="E301" s="54"/>
      <x:c r="F301" s="54"/>
      <x:c r="G301" s="54"/>
      <x:c r="H301" s="54"/>
      <x:c r="I301" s="54"/>
      <x:c r="J301" s="54"/>
      <x:c r="K301" s="54"/>
      <x:c r="L301" s="54"/>
      <x:c r="M301" s="54"/>
      <x:c r="N301" s="54"/>
      <x:c r="O301" s="57" t="str">
        <x:f>IF($C301="","",MAX(0,MIN(100,IFERROR(VLOOKUP($L301,'Lists &amp; Rules'!$P$5:$Q$8,2,FALSE),0)+IFERROR(VLOOKUP($N301,'Lists &amp; Rules'!$S$5:$T$7,2,FALSE),0)+IFERROR(VLOOKUP($M301,'Lists &amp; Rules'!$L$5:$N$13,3,FALSE),0)+IF($R301="Overdue",-10,IF($R301="Today",5,0))+MIN(15,$Z301*3))))</x:f>
      </x:c>
      <x:c r="P301" s="71" t="str">
        <x:f>IF($A301="","",IF(COUNTIF('Activity Log'!$C$6:$C$1005,$A301)=0,"",MAXIFS('Activity Log'!$B$6:$B$1005,'Activity Log'!$C$6:$C$1005,$A301)))</x:f>
      </x:c>
      <x:c r="Q301" s="71" t="str">
        <x:f>IF($A301="","",IF(COUNTIFS('Activity Log'!$C$6:$C$1005,$A301,'Activity Log'!$J$6:$J$1005,"No",'Activity Log'!$I$6:$I$1005,"&gt;0")=0,"",MINIFS('Activity Log'!$I$6:$I$1005,'Activity Log'!$C$6:$C$1005,$A301,'Activity Log'!$J$6:$J$1005,"No",'Activity Log'!$I$6:$I$1005,"&gt;0")))</x:f>
      </x:c>
      <x:c r="R301" s="57" t="str">
        <x:f>IF($C301="","",IF(OR($K301="Won",$K301="Lost",$K301="Disqualified"),"Closed",IF($Q301="","No date",IF(INT($Q301)&lt;TODAY(),"Overdue",IF(INT($Q301)=TODAY(),"Today",IF(INT($Q301)&lt;=TODAY()+7,"Next 7 days","Later"))))))</x:f>
      </x:c>
      <x:c r="S301" s="57" t="str">
        <x:f>IF(OR($C301="",$P301=""),"",TODAY()-INT($P301))</x:f>
      </x:c>
      <x:c r="T301" s="54"/>
      <x:c r="U301" s="54"/>
      <x:c r="V301" s="63"/>
      <x:c r="W301" s="74"/>
      <x:c r="X301" s="77" t="str">
        <x:f>IF($C301="","",IFERROR(VLOOKUP($M301,'Lists &amp; Rules'!$L$5:$N$13,2,FALSE),0))</x:f>
      </x:c>
      <x:c r="Y301" s="80" t="str">
        <x:f>IF(OR($C301="",$W301=""),"",ROUND($W301*$X301,0))</x:f>
      </x:c>
      <x:c r="Z301" s="57" t="str">
        <x:f>IF($A301="","",COUNTIF('Activity Log'!$C$6:$C$1005,$A301))</x:f>
      </x:c>
      <x:c r="AA301" s="68"/>
      <x:c r="AB301" s="63"/>
    </x:row>
    <x:row r="302">
      <x:c r="A302" s="54"/>
      <x:c r="B302" s="68"/>
      <x:c r="C302" s="54"/>
      <x:c r="D302" s="54"/>
      <x:c r="E302" s="54"/>
      <x:c r="F302" s="54"/>
      <x:c r="G302" s="54"/>
      <x:c r="H302" s="54"/>
      <x:c r="I302" s="54"/>
      <x:c r="J302" s="54"/>
      <x:c r="K302" s="54"/>
      <x:c r="L302" s="54"/>
      <x:c r="M302" s="54"/>
      <x:c r="N302" s="54"/>
      <x:c r="O302" s="57" t="str">
        <x:f>IF($C302="","",MAX(0,MIN(100,IFERROR(VLOOKUP($L302,'Lists &amp; Rules'!$P$5:$Q$8,2,FALSE),0)+IFERROR(VLOOKUP($N302,'Lists &amp; Rules'!$S$5:$T$7,2,FALSE),0)+IFERROR(VLOOKUP($M302,'Lists &amp; Rules'!$L$5:$N$13,3,FALSE),0)+IF($R302="Overdue",-10,IF($R302="Today",5,0))+MIN(15,$Z302*3))))</x:f>
      </x:c>
      <x:c r="P302" s="71" t="str">
        <x:f>IF($A302="","",IF(COUNTIF('Activity Log'!$C$6:$C$1005,$A302)=0,"",MAXIFS('Activity Log'!$B$6:$B$1005,'Activity Log'!$C$6:$C$1005,$A302)))</x:f>
      </x:c>
      <x:c r="Q302" s="71" t="str">
        <x:f>IF($A302="","",IF(COUNTIFS('Activity Log'!$C$6:$C$1005,$A302,'Activity Log'!$J$6:$J$1005,"No",'Activity Log'!$I$6:$I$1005,"&gt;0")=0,"",MINIFS('Activity Log'!$I$6:$I$1005,'Activity Log'!$C$6:$C$1005,$A302,'Activity Log'!$J$6:$J$1005,"No",'Activity Log'!$I$6:$I$1005,"&gt;0")))</x:f>
      </x:c>
      <x:c r="R302" s="57" t="str">
        <x:f>IF($C302="","",IF(OR($K302="Won",$K302="Lost",$K302="Disqualified"),"Closed",IF($Q302="","No date",IF(INT($Q302)&lt;TODAY(),"Overdue",IF(INT($Q302)=TODAY(),"Today",IF(INT($Q302)&lt;=TODAY()+7,"Next 7 days","Later"))))))</x:f>
      </x:c>
      <x:c r="S302" s="57" t="str">
        <x:f>IF(OR($C302="",$P302=""),"",TODAY()-INT($P302))</x:f>
      </x:c>
      <x:c r="T302" s="54"/>
      <x:c r="U302" s="54"/>
      <x:c r="V302" s="63"/>
      <x:c r="W302" s="74"/>
      <x:c r="X302" s="77" t="str">
        <x:f>IF($C302="","",IFERROR(VLOOKUP($M302,'Lists &amp; Rules'!$L$5:$N$13,2,FALSE),0))</x:f>
      </x:c>
      <x:c r="Y302" s="80" t="str">
        <x:f>IF(OR($C302="",$W302=""),"",ROUND($W302*$X302,0))</x:f>
      </x:c>
      <x:c r="Z302" s="57" t="str">
        <x:f>IF($A302="","",COUNTIF('Activity Log'!$C$6:$C$1005,$A302))</x:f>
      </x:c>
      <x:c r="AA302" s="68"/>
      <x:c r="AB302" s="63"/>
    </x:row>
    <x:row r="303">
      <x:c r="A303" s="54"/>
      <x:c r="B303" s="68"/>
      <x:c r="C303" s="54"/>
      <x:c r="D303" s="54"/>
      <x:c r="E303" s="54"/>
      <x:c r="F303" s="54"/>
      <x:c r="G303" s="54"/>
      <x:c r="H303" s="54"/>
      <x:c r="I303" s="54"/>
      <x:c r="J303" s="54"/>
      <x:c r="K303" s="54"/>
      <x:c r="L303" s="54"/>
      <x:c r="M303" s="54"/>
      <x:c r="N303" s="54"/>
      <x:c r="O303" s="57" t="str">
        <x:f>IF($C303="","",MAX(0,MIN(100,IFERROR(VLOOKUP($L303,'Lists &amp; Rules'!$P$5:$Q$8,2,FALSE),0)+IFERROR(VLOOKUP($N303,'Lists &amp; Rules'!$S$5:$T$7,2,FALSE),0)+IFERROR(VLOOKUP($M303,'Lists &amp; Rules'!$L$5:$N$13,3,FALSE),0)+IF($R303="Overdue",-10,IF($R303="Today",5,0))+MIN(15,$Z303*3))))</x:f>
      </x:c>
      <x:c r="P303" s="71" t="str">
        <x:f>IF($A303="","",IF(COUNTIF('Activity Log'!$C$6:$C$1005,$A303)=0,"",MAXIFS('Activity Log'!$B$6:$B$1005,'Activity Log'!$C$6:$C$1005,$A303)))</x:f>
      </x:c>
      <x:c r="Q303" s="71" t="str">
        <x:f>IF($A303="","",IF(COUNTIFS('Activity Log'!$C$6:$C$1005,$A303,'Activity Log'!$J$6:$J$1005,"No",'Activity Log'!$I$6:$I$1005,"&gt;0")=0,"",MINIFS('Activity Log'!$I$6:$I$1005,'Activity Log'!$C$6:$C$1005,$A303,'Activity Log'!$J$6:$J$1005,"No",'Activity Log'!$I$6:$I$1005,"&gt;0")))</x:f>
      </x:c>
      <x:c r="R303" s="57" t="str">
        <x:f>IF($C303="","",IF(OR($K303="Won",$K303="Lost",$K303="Disqualified"),"Closed",IF($Q303="","No date",IF(INT($Q303)&lt;TODAY(),"Overdue",IF(INT($Q303)=TODAY(),"Today",IF(INT($Q303)&lt;=TODAY()+7,"Next 7 days","Later"))))))</x:f>
      </x:c>
      <x:c r="S303" s="57" t="str">
        <x:f>IF(OR($C303="",$P303=""),"",TODAY()-INT($P303))</x:f>
      </x:c>
      <x:c r="T303" s="54"/>
      <x:c r="U303" s="54"/>
      <x:c r="V303" s="63"/>
      <x:c r="W303" s="74"/>
      <x:c r="X303" s="77" t="str">
        <x:f>IF($C303="","",IFERROR(VLOOKUP($M303,'Lists &amp; Rules'!$L$5:$N$13,2,FALSE),0))</x:f>
      </x:c>
      <x:c r="Y303" s="80" t="str">
        <x:f>IF(OR($C303="",$W303=""),"",ROUND($W303*$X303,0))</x:f>
      </x:c>
      <x:c r="Z303" s="57" t="str">
        <x:f>IF($A303="","",COUNTIF('Activity Log'!$C$6:$C$1005,$A303))</x:f>
      </x:c>
      <x:c r="AA303" s="68"/>
      <x:c r="AB303" s="63"/>
    </x:row>
    <x:row r="304">
      <x:c r="A304" s="54"/>
      <x:c r="B304" s="68"/>
      <x:c r="C304" s="54"/>
      <x:c r="D304" s="54"/>
      <x:c r="E304" s="54"/>
      <x:c r="F304" s="54"/>
      <x:c r="G304" s="54"/>
      <x:c r="H304" s="54"/>
      <x:c r="I304" s="54"/>
      <x:c r="J304" s="54"/>
      <x:c r="K304" s="54"/>
      <x:c r="L304" s="54"/>
      <x:c r="M304" s="54"/>
      <x:c r="N304" s="54"/>
      <x:c r="O304" s="57" t="str">
        <x:f>IF($C304="","",MAX(0,MIN(100,IFERROR(VLOOKUP($L304,'Lists &amp; Rules'!$P$5:$Q$8,2,FALSE),0)+IFERROR(VLOOKUP($N304,'Lists &amp; Rules'!$S$5:$T$7,2,FALSE),0)+IFERROR(VLOOKUP($M304,'Lists &amp; Rules'!$L$5:$N$13,3,FALSE),0)+IF($R304="Overdue",-10,IF($R304="Today",5,0))+MIN(15,$Z304*3))))</x:f>
      </x:c>
      <x:c r="P304" s="71" t="str">
        <x:f>IF($A304="","",IF(COUNTIF('Activity Log'!$C$6:$C$1005,$A304)=0,"",MAXIFS('Activity Log'!$B$6:$B$1005,'Activity Log'!$C$6:$C$1005,$A304)))</x:f>
      </x:c>
      <x:c r="Q304" s="71" t="str">
        <x:f>IF($A304="","",IF(COUNTIFS('Activity Log'!$C$6:$C$1005,$A304,'Activity Log'!$J$6:$J$1005,"No",'Activity Log'!$I$6:$I$1005,"&gt;0")=0,"",MINIFS('Activity Log'!$I$6:$I$1005,'Activity Log'!$C$6:$C$1005,$A304,'Activity Log'!$J$6:$J$1005,"No",'Activity Log'!$I$6:$I$1005,"&gt;0")))</x:f>
      </x:c>
      <x:c r="R304" s="57" t="str">
        <x:f>IF($C304="","",IF(OR($K304="Won",$K304="Lost",$K304="Disqualified"),"Closed",IF($Q304="","No date",IF(INT($Q304)&lt;TODAY(),"Overdue",IF(INT($Q304)=TODAY(),"Today",IF(INT($Q304)&lt;=TODAY()+7,"Next 7 days","Later"))))))</x:f>
      </x:c>
      <x:c r="S304" s="57" t="str">
        <x:f>IF(OR($C304="",$P304=""),"",TODAY()-INT($P304))</x:f>
      </x:c>
      <x:c r="T304" s="54"/>
      <x:c r="U304" s="54"/>
      <x:c r="V304" s="63"/>
      <x:c r="W304" s="74"/>
      <x:c r="X304" s="77" t="str">
        <x:f>IF($C304="","",IFERROR(VLOOKUP($M304,'Lists &amp; Rules'!$L$5:$N$13,2,FALSE),0))</x:f>
      </x:c>
      <x:c r="Y304" s="80" t="str">
        <x:f>IF(OR($C304="",$W304=""),"",ROUND($W304*$X304,0))</x:f>
      </x:c>
      <x:c r="Z304" s="57" t="str">
        <x:f>IF($A304="","",COUNTIF('Activity Log'!$C$6:$C$1005,$A304))</x:f>
      </x:c>
      <x:c r="AA304" s="68"/>
      <x:c r="AB304" s="63"/>
    </x:row>
    <x:row r="305">
      <x:c r="A305" s="54"/>
      <x:c r="B305" s="68"/>
      <x:c r="C305" s="54"/>
      <x:c r="D305" s="54"/>
      <x:c r="E305" s="54"/>
      <x:c r="F305" s="54"/>
      <x:c r="G305" s="54"/>
      <x:c r="H305" s="54"/>
      <x:c r="I305" s="54"/>
      <x:c r="J305" s="54"/>
      <x:c r="K305" s="54"/>
      <x:c r="L305" s="54"/>
      <x:c r="M305" s="54"/>
      <x:c r="N305" s="54"/>
      <x:c r="O305" s="57" t="str">
        <x:f>IF($C305="","",MAX(0,MIN(100,IFERROR(VLOOKUP($L305,'Lists &amp; Rules'!$P$5:$Q$8,2,FALSE),0)+IFERROR(VLOOKUP($N305,'Lists &amp; Rules'!$S$5:$T$7,2,FALSE),0)+IFERROR(VLOOKUP($M305,'Lists &amp; Rules'!$L$5:$N$13,3,FALSE),0)+IF($R305="Overdue",-10,IF($R305="Today",5,0))+MIN(15,$Z305*3))))</x:f>
      </x:c>
      <x:c r="P305" s="71" t="str">
        <x:f>IF($A305="","",IF(COUNTIF('Activity Log'!$C$6:$C$1005,$A305)=0,"",MAXIFS('Activity Log'!$B$6:$B$1005,'Activity Log'!$C$6:$C$1005,$A305)))</x:f>
      </x:c>
      <x:c r="Q305" s="71" t="str">
        <x:f>IF($A305="","",IF(COUNTIFS('Activity Log'!$C$6:$C$1005,$A305,'Activity Log'!$J$6:$J$1005,"No",'Activity Log'!$I$6:$I$1005,"&gt;0")=0,"",MINIFS('Activity Log'!$I$6:$I$1005,'Activity Log'!$C$6:$C$1005,$A305,'Activity Log'!$J$6:$J$1005,"No",'Activity Log'!$I$6:$I$1005,"&gt;0")))</x:f>
      </x:c>
      <x:c r="R305" s="57" t="str">
        <x:f>IF($C305="","",IF(OR($K305="Won",$K305="Lost",$K305="Disqualified"),"Closed",IF($Q305="","No date",IF(INT($Q305)&lt;TODAY(),"Overdue",IF(INT($Q305)=TODAY(),"Today",IF(INT($Q305)&lt;=TODAY()+7,"Next 7 days","Later"))))))</x:f>
      </x:c>
      <x:c r="S305" s="57" t="str">
        <x:f>IF(OR($C305="",$P305=""),"",TODAY()-INT($P305))</x:f>
      </x:c>
      <x:c r="T305" s="54"/>
      <x:c r="U305" s="54"/>
      <x:c r="V305" s="63"/>
      <x:c r="W305" s="74"/>
      <x:c r="X305" s="77" t="str">
        <x:f>IF($C305="","",IFERROR(VLOOKUP($M305,'Lists &amp; Rules'!$L$5:$N$13,2,FALSE),0))</x:f>
      </x:c>
      <x:c r="Y305" s="80" t="str">
        <x:f>IF(OR($C305="",$W305=""),"",ROUND($W305*$X305,0))</x:f>
      </x:c>
      <x:c r="Z305" s="57" t="str">
        <x:f>IF($A305="","",COUNTIF('Activity Log'!$C$6:$C$1005,$A305))</x:f>
      </x:c>
      <x:c r="AA305" s="68"/>
      <x:c r="AB305" s="63"/>
    </x:row>
    <x:row r="306">
      <x:c r="A306" s="54"/>
      <x:c r="B306" s="68"/>
      <x:c r="C306" s="54"/>
      <x:c r="D306" s="54"/>
      <x:c r="E306" s="54"/>
      <x:c r="F306" s="54"/>
      <x:c r="G306" s="54"/>
      <x:c r="H306" s="54"/>
      <x:c r="I306" s="54"/>
      <x:c r="J306" s="54"/>
      <x:c r="K306" s="54"/>
      <x:c r="L306" s="54"/>
      <x:c r="M306" s="54"/>
      <x:c r="N306" s="54"/>
      <x:c r="O306" s="57" t="str">
        <x:f>IF($C306="","",MAX(0,MIN(100,IFERROR(VLOOKUP($L306,'Lists &amp; Rules'!$P$5:$Q$8,2,FALSE),0)+IFERROR(VLOOKUP($N306,'Lists &amp; Rules'!$S$5:$T$7,2,FALSE),0)+IFERROR(VLOOKUP($M306,'Lists &amp; Rules'!$L$5:$N$13,3,FALSE),0)+IF($R306="Overdue",-10,IF($R306="Today",5,0))+MIN(15,$Z306*3))))</x:f>
      </x:c>
      <x:c r="P306" s="71" t="str">
        <x:f>IF($A306="","",IF(COUNTIF('Activity Log'!$C$6:$C$1005,$A306)=0,"",MAXIFS('Activity Log'!$B$6:$B$1005,'Activity Log'!$C$6:$C$1005,$A306)))</x:f>
      </x:c>
      <x:c r="Q306" s="71" t="str">
        <x:f>IF($A306="","",IF(COUNTIFS('Activity Log'!$C$6:$C$1005,$A306,'Activity Log'!$J$6:$J$1005,"No",'Activity Log'!$I$6:$I$1005,"&gt;0")=0,"",MINIFS('Activity Log'!$I$6:$I$1005,'Activity Log'!$C$6:$C$1005,$A306,'Activity Log'!$J$6:$J$1005,"No",'Activity Log'!$I$6:$I$1005,"&gt;0")))</x:f>
      </x:c>
      <x:c r="R306" s="57" t="str">
        <x:f>IF($C306="","",IF(OR($K306="Won",$K306="Lost",$K306="Disqualified"),"Closed",IF($Q306="","No date",IF(INT($Q306)&lt;TODAY(),"Overdue",IF(INT($Q306)=TODAY(),"Today",IF(INT($Q306)&lt;=TODAY()+7,"Next 7 days","Later"))))))</x:f>
      </x:c>
      <x:c r="S306" s="57" t="str">
        <x:f>IF(OR($C306="",$P306=""),"",TODAY()-INT($P306))</x:f>
      </x:c>
      <x:c r="T306" s="54"/>
      <x:c r="U306" s="54"/>
      <x:c r="V306" s="63"/>
      <x:c r="W306" s="74"/>
      <x:c r="X306" s="77" t="str">
        <x:f>IF($C306="","",IFERROR(VLOOKUP($M306,'Lists &amp; Rules'!$L$5:$N$13,2,FALSE),0))</x:f>
      </x:c>
      <x:c r="Y306" s="80" t="str">
        <x:f>IF(OR($C306="",$W306=""),"",ROUND($W306*$X306,0))</x:f>
      </x:c>
      <x:c r="Z306" s="57" t="str">
        <x:f>IF($A306="","",COUNTIF('Activity Log'!$C$6:$C$1005,$A306))</x:f>
      </x:c>
      <x:c r="AA306" s="68"/>
      <x:c r="AB306" s="63"/>
    </x:row>
    <x:row r="307">
      <x:c r="A307" s="54"/>
      <x:c r="B307" s="68"/>
      <x:c r="C307" s="54"/>
      <x:c r="D307" s="54"/>
      <x:c r="E307" s="54"/>
      <x:c r="F307" s="54"/>
      <x:c r="G307" s="54"/>
      <x:c r="H307" s="54"/>
      <x:c r="I307" s="54"/>
      <x:c r="J307" s="54"/>
      <x:c r="K307" s="54"/>
      <x:c r="L307" s="54"/>
      <x:c r="M307" s="54"/>
      <x:c r="N307" s="54"/>
      <x:c r="O307" s="57" t="str">
        <x:f>IF($C307="","",MAX(0,MIN(100,IFERROR(VLOOKUP($L307,'Lists &amp; Rules'!$P$5:$Q$8,2,FALSE),0)+IFERROR(VLOOKUP($N307,'Lists &amp; Rules'!$S$5:$T$7,2,FALSE),0)+IFERROR(VLOOKUP($M307,'Lists &amp; Rules'!$L$5:$N$13,3,FALSE),0)+IF($R307="Overdue",-10,IF($R307="Today",5,0))+MIN(15,$Z307*3))))</x:f>
      </x:c>
      <x:c r="P307" s="71" t="str">
        <x:f>IF($A307="","",IF(COUNTIF('Activity Log'!$C$6:$C$1005,$A307)=0,"",MAXIFS('Activity Log'!$B$6:$B$1005,'Activity Log'!$C$6:$C$1005,$A307)))</x:f>
      </x:c>
      <x:c r="Q307" s="71" t="str">
        <x:f>IF($A307="","",IF(COUNTIFS('Activity Log'!$C$6:$C$1005,$A307,'Activity Log'!$J$6:$J$1005,"No",'Activity Log'!$I$6:$I$1005,"&gt;0")=0,"",MINIFS('Activity Log'!$I$6:$I$1005,'Activity Log'!$C$6:$C$1005,$A307,'Activity Log'!$J$6:$J$1005,"No",'Activity Log'!$I$6:$I$1005,"&gt;0")))</x:f>
      </x:c>
      <x:c r="R307" s="57" t="str">
        <x:f>IF($C307="","",IF(OR($K307="Won",$K307="Lost",$K307="Disqualified"),"Closed",IF($Q307="","No date",IF(INT($Q307)&lt;TODAY(),"Overdue",IF(INT($Q307)=TODAY(),"Today",IF(INT($Q307)&lt;=TODAY()+7,"Next 7 days","Later"))))))</x:f>
      </x:c>
      <x:c r="S307" s="57" t="str">
        <x:f>IF(OR($C307="",$P307=""),"",TODAY()-INT($P307))</x:f>
      </x:c>
      <x:c r="T307" s="54"/>
      <x:c r="U307" s="54"/>
      <x:c r="V307" s="63"/>
      <x:c r="W307" s="74"/>
      <x:c r="X307" s="77" t="str">
        <x:f>IF($C307="","",IFERROR(VLOOKUP($M307,'Lists &amp; Rules'!$L$5:$N$13,2,FALSE),0))</x:f>
      </x:c>
      <x:c r="Y307" s="80" t="str">
        <x:f>IF(OR($C307="",$W307=""),"",ROUND($W307*$X307,0))</x:f>
      </x:c>
      <x:c r="Z307" s="57" t="str">
        <x:f>IF($A307="","",COUNTIF('Activity Log'!$C$6:$C$1005,$A307))</x:f>
      </x:c>
      <x:c r="AA307" s="68"/>
      <x:c r="AB307" s="63"/>
    </x:row>
    <x:row r="308">
      <x:c r="A308" s="54"/>
      <x:c r="B308" s="68"/>
      <x:c r="C308" s="54"/>
      <x:c r="D308" s="54"/>
      <x:c r="E308" s="54"/>
      <x:c r="F308" s="54"/>
      <x:c r="G308" s="54"/>
      <x:c r="H308" s="54"/>
      <x:c r="I308" s="54"/>
      <x:c r="J308" s="54"/>
      <x:c r="K308" s="54"/>
      <x:c r="L308" s="54"/>
      <x:c r="M308" s="54"/>
      <x:c r="N308" s="54"/>
      <x:c r="O308" s="57" t="str">
        <x:f>IF($C308="","",MAX(0,MIN(100,IFERROR(VLOOKUP($L308,'Lists &amp; Rules'!$P$5:$Q$8,2,FALSE),0)+IFERROR(VLOOKUP($N308,'Lists &amp; Rules'!$S$5:$T$7,2,FALSE),0)+IFERROR(VLOOKUP($M308,'Lists &amp; Rules'!$L$5:$N$13,3,FALSE),0)+IF($R308="Overdue",-10,IF($R308="Today",5,0))+MIN(15,$Z308*3))))</x:f>
      </x:c>
      <x:c r="P308" s="71" t="str">
        <x:f>IF($A308="","",IF(COUNTIF('Activity Log'!$C$6:$C$1005,$A308)=0,"",MAXIFS('Activity Log'!$B$6:$B$1005,'Activity Log'!$C$6:$C$1005,$A308)))</x:f>
      </x:c>
      <x:c r="Q308" s="71" t="str">
        <x:f>IF($A308="","",IF(COUNTIFS('Activity Log'!$C$6:$C$1005,$A308,'Activity Log'!$J$6:$J$1005,"No",'Activity Log'!$I$6:$I$1005,"&gt;0")=0,"",MINIFS('Activity Log'!$I$6:$I$1005,'Activity Log'!$C$6:$C$1005,$A308,'Activity Log'!$J$6:$J$1005,"No",'Activity Log'!$I$6:$I$1005,"&gt;0")))</x:f>
      </x:c>
      <x:c r="R308" s="57" t="str">
        <x:f>IF($C308="","",IF(OR($K308="Won",$K308="Lost",$K308="Disqualified"),"Closed",IF($Q308="","No date",IF(INT($Q308)&lt;TODAY(),"Overdue",IF(INT($Q308)=TODAY(),"Today",IF(INT($Q308)&lt;=TODAY()+7,"Next 7 days","Later"))))))</x:f>
      </x:c>
      <x:c r="S308" s="57" t="str">
        <x:f>IF(OR($C308="",$P308=""),"",TODAY()-INT($P308))</x:f>
      </x:c>
      <x:c r="T308" s="54"/>
      <x:c r="U308" s="54"/>
      <x:c r="V308" s="63"/>
      <x:c r="W308" s="74"/>
      <x:c r="X308" s="77" t="str">
        <x:f>IF($C308="","",IFERROR(VLOOKUP($M308,'Lists &amp; Rules'!$L$5:$N$13,2,FALSE),0))</x:f>
      </x:c>
      <x:c r="Y308" s="80" t="str">
        <x:f>IF(OR($C308="",$W308=""),"",ROUND($W308*$X308,0))</x:f>
      </x:c>
      <x:c r="Z308" s="57" t="str">
        <x:f>IF($A308="","",COUNTIF('Activity Log'!$C$6:$C$1005,$A308))</x:f>
      </x:c>
      <x:c r="AA308" s="68"/>
      <x:c r="AB308" s="63"/>
    </x:row>
    <x:row r="309">
      <x:c r="A309" s="54"/>
      <x:c r="B309" s="68"/>
      <x:c r="C309" s="54"/>
      <x:c r="D309" s="54"/>
      <x:c r="E309" s="54"/>
      <x:c r="F309" s="54"/>
      <x:c r="G309" s="54"/>
      <x:c r="H309" s="54"/>
      <x:c r="I309" s="54"/>
      <x:c r="J309" s="54"/>
      <x:c r="K309" s="54"/>
      <x:c r="L309" s="54"/>
      <x:c r="M309" s="54"/>
      <x:c r="N309" s="54"/>
      <x:c r="O309" s="57" t="str">
        <x:f>IF($C309="","",MAX(0,MIN(100,IFERROR(VLOOKUP($L309,'Lists &amp; Rules'!$P$5:$Q$8,2,FALSE),0)+IFERROR(VLOOKUP($N309,'Lists &amp; Rules'!$S$5:$T$7,2,FALSE),0)+IFERROR(VLOOKUP($M309,'Lists &amp; Rules'!$L$5:$N$13,3,FALSE),0)+IF($R309="Overdue",-10,IF($R309="Today",5,0))+MIN(15,$Z309*3))))</x:f>
      </x:c>
      <x:c r="P309" s="71" t="str">
        <x:f>IF($A309="","",IF(COUNTIF('Activity Log'!$C$6:$C$1005,$A309)=0,"",MAXIFS('Activity Log'!$B$6:$B$1005,'Activity Log'!$C$6:$C$1005,$A309)))</x:f>
      </x:c>
      <x:c r="Q309" s="71" t="str">
        <x:f>IF($A309="","",IF(COUNTIFS('Activity Log'!$C$6:$C$1005,$A309,'Activity Log'!$J$6:$J$1005,"No",'Activity Log'!$I$6:$I$1005,"&gt;0")=0,"",MINIFS('Activity Log'!$I$6:$I$1005,'Activity Log'!$C$6:$C$1005,$A309,'Activity Log'!$J$6:$J$1005,"No",'Activity Log'!$I$6:$I$1005,"&gt;0")))</x:f>
      </x:c>
      <x:c r="R309" s="57" t="str">
        <x:f>IF($C309="","",IF(OR($K309="Won",$K309="Lost",$K309="Disqualified"),"Closed",IF($Q309="","No date",IF(INT($Q309)&lt;TODAY(),"Overdue",IF(INT($Q309)=TODAY(),"Today",IF(INT($Q309)&lt;=TODAY()+7,"Next 7 days","Later"))))))</x:f>
      </x:c>
      <x:c r="S309" s="57" t="str">
        <x:f>IF(OR($C309="",$P309=""),"",TODAY()-INT($P309))</x:f>
      </x:c>
      <x:c r="T309" s="54"/>
      <x:c r="U309" s="54"/>
      <x:c r="V309" s="63"/>
      <x:c r="W309" s="74"/>
      <x:c r="X309" s="77" t="str">
        <x:f>IF($C309="","",IFERROR(VLOOKUP($M309,'Lists &amp; Rules'!$L$5:$N$13,2,FALSE),0))</x:f>
      </x:c>
      <x:c r="Y309" s="80" t="str">
        <x:f>IF(OR($C309="",$W309=""),"",ROUND($W309*$X309,0))</x:f>
      </x:c>
      <x:c r="Z309" s="57" t="str">
        <x:f>IF($A309="","",COUNTIF('Activity Log'!$C$6:$C$1005,$A309))</x:f>
      </x:c>
      <x:c r="AA309" s="68"/>
      <x:c r="AB309" s="63"/>
    </x:row>
    <x:row r="310">
      <x:c r="A310" s="54"/>
      <x:c r="B310" s="68"/>
      <x:c r="C310" s="54"/>
      <x:c r="D310" s="54"/>
      <x:c r="E310" s="54"/>
      <x:c r="F310" s="54"/>
      <x:c r="G310" s="54"/>
      <x:c r="H310" s="54"/>
      <x:c r="I310" s="54"/>
      <x:c r="J310" s="54"/>
      <x:c r="K310" s="54"/>
      <x:c r="L310" s="54"/>
      <x:c r="M310" s="54"/>
      <x:c r="N310" s="54"/>
      <x:c r="O310" s="57" t="str">
        <x:f>IF($C310="","",MAX(0,MIN(100,IFERROR(VLOOKUP($L310,'Lists &amp; Rules'!$P$5:$Q$8,2,FALSE),0)+IFERROR(VLOOKUP($N310,'Lists &amp; Rules'!$S$5:$T$7,2,FALSE),0)+IFERROR(VLOOKUP($M310,'Lists &amp; Rules'!$L$5:$N$13,3,FALSE),0)+IF($R310="Overdue",-10,IF($R310="Today",5,0))+MIN(15,$Z310*3))))</x:f>
      </x:c>
      <x:c r="P310" s="71" t="str">
        <x:f>IF($A310="","",IF(COUNTIF('Activity Log'!$C$6:$C$1005,$A310)=0,"",MAXIFS('Activity Log'!$B$6:$B$1005,'Activity Log'!$C$6:$C$1005,$A310)))</x:f>
      </x:c>
      <x:c r="Q310" s="71" t="str">
        <x:f>IF($A310="","",IF(COUNTIFS('Activity Log'!$C$6:$C$1005,$A310,'Activity Log'!$J$6:$J$1005,"No",'Activity Log'!$I$6:$I$1005,"&gt;0")=0,"",MINIFS('Activity Log'!$I$6:$I$1005,'Activity Log'!$C$6:$C$1005,$A310,'Activity Log'!$J$6:$J$1005,"No",'Activity Log'!$I$6:$I$1005,"&gt;0")))</x:f>
      </x:c>
      <x:c r="R310" s="57" t="str">
        <x:f>IF($C310="","",IF(OR($K310="Won",$K310="Lost",$K310="Disqualified"),"Closed",IF($Q310="","No date",IF(INT($Q310)&lt;TODAY(),"Overdue",IF(INT($Q310)=TODAY(),"Today",IF(INT($Q310)&lt;=TODAY()+7,"Next 7 days","Later"))))))</x:f>
      </x:c>
      <x:c r="S310" s="57" t="str">
        <x:f>IF(OR($C310="",$P310=""),"",TODAY()-INT($P310))</x:f>
      </x:c>
      <x:c r="T310" s="54"/>
      <x:c r="U310" s="54"/>
      <x:c r="V310" s="63"/>
      <x:c r="W310" s="74"/>
      <x:c r="X310" s="77" t="str">
        <x:f>IF($C310="","",IFERROR(VLOOKUP($M310,'Lists &amp; Rules'!$L$5:$N$13,2,FALSE),0))</x:f>
      </x:c>
      <x:c r="Y310" s="80" t="str">
        <x:f>IF(OR($C310="",$W310=""),"",ROUND($W310*$X310,0))</x:f>
      </x:c>
      <x:c r="Z310" s="57" t="str">
        <x:f>IF($A310="","",COUNTIF('Activity Log'!$C$6:$C$1005,$A310))</x:f>
      </x:c>
      <x:c r="AA310" s="68"/>
      <x:c r="AB310" s="63"/>
    </x:row>
    <x:row r="311">
      <x:c r="A311" s="54"/>
      <x:c r="B311" s="68"/>
      <x:c r="C311" s="54"/>
      <x:c r="D311" s="54"/>
      <x:c r="E311" s="54"/>
      <x:c r="F311" s="54"/>
      <x:c r="G311" s="54"/>
      <x:c r="H311" s="54"/>
      <x:c r="I311" s="54"/>
      <x:c r="J311" s="54"/>
      <x:c r="K311" s="54"/>
      <x:c r="L311" s="54"/>
      <x:c r="M311" s="54"/>
      <x:c r="N311" s="54"/>
      <x:c r="O311" s="57" t="str">
        <x:f>IF($C311="","",MAX(0,MIN(100,IFERROR(VLOOKUP($L311,'Lists &amp; Rules'!$P$5:$Q$8,2,FALSE),0)+IFERROR(VLOOKUP($N311,'Lists &amp; Rules'!$S$5:$T$7,2,FALSE),0)+IFERROR(VLOOKUP($M311,'Lists &amp; Rules'!$L$5:$N$13,3,FALSE),0)+IF($R311="Overdue",-10,IF($R311="Today",5,0))+MIN(15,$Z311*3))))</x:f>
      </x:c>
      <x:c r="P311" s="71" t="str">
        <x:f>IF($A311="","",IF(COUNTIF('Activity Log'!$C$6:$C$1005,$A311)=0,"",MAXIFS('Activity Log'!$B$6:$B$1005,'Activity Log'!$C$6:$C$1005,$A311)))</x:f>
      </x:c>
      <x:c r="Q311" s="71" t="str">
        <x:f>IF($A311="","",IF(COUNTIFS('Activity Log'!$C$6:$C$1005,$A311,'Activity Log'!$J$6:$J$1005,"No",'Activity Log'!$I$6:$I$1005,"&gt;0")=0,"",MINIFS('Activity Log'!$I$6:$I$1005,'Activity Log'!$C$6:$C$1005,$A311,'Activity Log'!$J$6:$J$1005,"No",'Activity Log'!$I$6:$I$1005,"&gt;0")))</x:f>
      </x:c>
      <x:c r="R311" s="57" t="str">
        <x:f>IF($C311="","",IF(OR($K311="Won",$K311="Lost",$K311="Disqualified"),"Closed",IF($Q311="","No date",IF(INT($Q311)&lt;TODAY(),"Overdue",IF(INT($Q311)=TODAY(),"Today",IF(INT($Q311)&lt;=TODAY()+7,"Next 7 days","Later"))))))</x:f>
      </x:c>
      <x:c r="S311" s="57" t="str">
        <x:f>IF(OR($C311="",$P311=""),"",TODAY()-INT($P311))</x:f>
      </x:c>
      <x:c r="T311" s="54"/>
      <x:c r="U311" s="54"/>
      <x:c r="V311" s="63"/>
      <x:c r="W311" s="74"/>
      <x:c r="X311" s="77" t="str">
        <x:f>IF($C311="","",IFERROR(VLOOKUP($M311,'Lists &amp; Rules'!$L$5:$N$13,2,FALSE),0))</x:f>
      </x:c>
      <x:c r="Y311" s="80" t="str">
        <x:f>IF(OR($C311="",$W311=""),"",ROUND($W311*$X311,0))</x:f>
      </x:c>
      <x:c r="Z311" s="57" t="str">
        <x:f>IF($A311="","",COUNTIF('Activity Log'!$C$6:$C$1005,$A311))</x:f>
      </x:c>
      <x:c r="AA311" s="68"/>
      <x:c r="AB311" s="63"/>
    </x:row>
    <x:row r="312">
      <x:c r="A312" s="54"/>
      <x:c r="B312" s="68"/>
      <x:c r="C312" s="54"/>
      <x:c r="D312" s="54"/>
      <x:c r="E312" s="54"/>
      <x:c r="F312" s="54"/>
      <x:c r="G312" s="54"/>
      <x:c r="H312" s="54"/>
      <x:c r="I312" s="54"/>
      <x:c r="J312" s="54"/>
      <x:c r="K312" s="54"/>
      <x:c r="L312" s="54"/>
      <x:c r="M312" s="54"/>
      <x:c r="N312" s="54"/>
      <x:c r="O312" s="57" t="str">
        <x:f>IF($C312="","",MAX(0,MIN(100,IFERROR(VLOOKUP($L312,'Lists &amp; Rules'!$P$5:$Q$8,2,FALSE),0)+IFERROR(VLOOKUP($N312,'Lists &amp; Rules'!$S$5:$T$7,2,FALSE),0)+IFERROR(VLOOKUP($M312,'Lists &amp; Rules'!$L$5:$N$13,3,FALSE),0)+IF($R312="Overdue",-10,IF($R312="Today",5,0))+MIN(15,$Z312*3))))</x:f>
      </x:c>
      <x:c r="P312" s="71" t="str">
        <x:f>IF($A312="","",IF(COUNTIF('Activity Log'!$C$6:$C$1005,$A312)=0,"",MAXIFS('Activity Log'!$B$6:$B$1005,'Activity Log'!$C$6:$C$1005,$A312)))</x:f>
      </x:c>
      <x:c r="Q312" s="71" t="str">
        <x:f>IF($A312="","",IF(COUNTIFS('Activity Log'!$C$6:$C$1005,$A312,'Activity Log'!$J$6:$J$1005,"No",'Activity Log'!$I$6:$I$1005,"&gt;0")=0,"",MINIFS('Activity Log'!$I$6:$I$1005,'Activity Log'!$C$6:$C$1005,$A312,'Activity Log'!$J$6:$J$1005,"No",'Activity Log'!$I$6:$I$1005,"&gt;0")))</x:f>
      </x:c>
      <x:c r="R312" s="57" t="str">
        <x:f>IF($C312="","",IF(OR($K312="Won",$K312="Lost",$K312="Disqualified"),"Closed",IF($Q312="","No date",IF(INT($Q312)&lt;TODAY(),"Overdue",IF(INT($Q312)=TODAY(),"Today",IF(INT($Q312)&lt;=TODAY()+7,"Next 7 days","Later"))))))</x:f>
      </x:c>
      <x:c r="S312" s="57" t="str">
        <x:f>IF(OR($C312="",$P312=""),"",TODAY()-INT($P312))</x:f>
      </x:c>
      <x:c r="T312" s="54"/>
      <x:c r="U312" s="54"/>
      <x:c r="V312" s="63"/>
      <x:c r="W312" s="74"/>
      <x:c r="X312" s="77" t="str">
        <x:f>IF($C312="","",IFERROR(VLOOKUP($M312,'Lists &amp; Rules'!$L$5:$N$13,2,FALSE),0))</x:f>
      </x:c>
      <x:c r="Y312" s="80" t="str">
        <x:f>IF(OR($C312="",$W312=""),"",ROUND($W312*$X312,0))</x:f>
      </x:c>
      <x:c r="Z312" s="57" t="str">
        <x:f>IF($A312="","",COUNTIF('Activity Log'!$C$6:$C$1005,$A312))</x:f>
      </x:c>
      <x:c r="AA312" s="68"/>
      <x:c r="AB312" s="63"/>
    </x:row>
    <x:row r="313">
      <x:c r="A313" s="54"/>
      <x:c r="B313" s="68"/>
      <x:c r="C313" s="54"/>
      <x:c r="D313" s="54"/>
      <x:c r="E313" s="54"/>
      <x:c r="F313" s="54"/>
      <x:c r="G313" s="54"/>
      <x:c r="H313" s="54"/>
      <x:c r="I313" s="54"/>
      <x:c r="J313" s="54"/>
      <x:c r="K313" s="54"/>
      <x:c r="L313" s="54"/>
      <x:c r="M313" s="54"/>
      <x:c r="N313" s="54"/>
      <x:c r="O313" s="57" t="str">
        <x:f>IF($C313="","",MAX(0,MIN(100,IFERROR(VLOOKUP($L313,'Lists &amp; Rules'!$P$5:$Q$8,2,FALSE),0)+IFERROR(VLOOKUP($N313,'Lists &amp; Rules'!$S$5:$T$7,2,FALSE),0)+IFERROR(VLOOKUP($M313,'Lists &amp; Rules'!$L$5:$N$13,3,FALSE),0)+IF($R313="Overdue",-10,IF($R313="Today",5,0))+MIN(15,$Z313*3))))</x:f>
      </x:c>
      <x:c r="P313" s="71" t="str">
        <x:f>IF($A313="","",IF(COUNTIF('Activity Log'!$C$6:$C$1005,$A313)=0,"",MAXIFS('Activity Log'!$B$6:$B$1005,'Activity Log'!$C$6:$C$1005,$A313)))</x:f>
      </x:c>
      <x:c r="Q313" s="71" t="str">
        <x:f>IF($A313="","",IF(COUNTIFS('Activity Log'!$C$6:$C$1005,$A313,'Activity Log'!$J$6:$J$1005,"No",'Activity Log'!$I$6:$I$1005,"&gt;0")=0,"",MINIFS('Activity Log'!$I$6:$I$1005,'Activity Log'!$C$6:$C$1005,$A313,'Activity Log'!$J$6:$J$1005,"No",'Activity Log'!$I$6:$I$1005,"&gt;0")))</x:f>
      </x:c>
      <x:c r="R313" s="57" t="str">
        <x:f>IF($C313="","",IF(OR($K313="Won",$K313="Lost",$K313="Disqualified"),"Closed",IF($Q313="","No date",IF(INT($Q313)&lt;TODAY(),"Overdue",IF(INT($Q313)=TODAY(),"Today",IF(INT($Q313)&lt;=TODAY()+7,"Next 7 days","Later"))))))</x:f>
      </x:c>
      <x:c r="S313" s="57" t="str">
        <x:f>IF(OR($C313="",$P313=""),"",TODAY()-INT($P313))</x:f>
      </x:c>
      <x:c r="T313" s="54"/>
      <x:c r="U313" s="54"/>
      <x:c r="V313" s="63"/>
      <x:c r="W313" s="74"/>
      <x:c r="X313" s="77" t="str">
        <x:f>IF($C313="","",IFERROR(VLOOKUP($M313,'Lists &amp; Rules'!$L$5:$N$13,2,FALSE),0))</x:f>
      </x:c>
      <x:c r="Y313" s="80" t="str">
        <x:f>IF(OR($C313="",$W313=""),"",ROUND($W313*$X313,0))</x:f>
      </x:c>
      <x:c r="Z313" s="57" t="str">
        <x:f>IF($A313="","",COUNTIF('Activity Log'!$C$6:$C$1005,$A313))</x:f>
      </x:c>
      <x:c r="AA313" s="68"/>
      <x:c r="AB313" s="63"/>
    </x:row>
    <x:row r="314">
      <x:c r="A314" s="54"/>
      <x:c r="B314" s="68"/>
      <x:c r="C314" s="54"/>
      <x:c r="D314" s="54"/>
      <x:c r="E314" s="54"/>
      <x:c r="F314" s="54"/>
      <x:c r="G314" s="54"/>
      <x:c r="H314" s="54"/>
      <x:c r="I314" s="54"/>
      <x:c r="J314" s="54"/>
      <x:c r="K314" s="54"/>
      <x:c r="L314" s="54"/>
      <x:c r="M314" s="54"/>
      <x:c r="N314" s="54"/>
      <x:c r="O314" s="57" t="str">
        <x:f>IF($C314="","",MAX(0,MIN(100,IFERROR(VLOOKUP($L314,'Lists &amp; Rules'!$P$5:$Q$8,2,FALSE),0)+IFERROR(VLOOKUP($N314,'Lists &amp; Rules'!$S$5:$T$7,2,FALSE),0)+IFERROR(VLOOKUP($M314,'Lists &amp; Rules'!$L$5:$N$13,3,FALSE),0)+IF($R314="Overdue",-10,IF($R314="Today",5,0))+MIN(15,$Z314*3))))</x:f>
      </x:c>
      <x:c r="P314" s="71" t="str">
        <x:f>IF($A314="","",IF(COUNTIF('Activity Log'!$C$6:$C$1005,$A314)=0,"",MAXIFS('Activity Log'!$B$6:$B$1005,'Activity Log'!$C$6:$C$1005,$A314)))</x:f>
      </x:c>
      <x:c r="Q314" s="71" t="str">
        <x:f>IF($A314="","",IF(COUNTIFS('Activity Log'!$C$6:$C$1005,$A314,'Activity Log'!$J$6:$J$1005,"No",'Activity Log'!$I$6:$I$1005,"&gt;0")=0,"",MINIFS('Activity Log'!$I$6:$I$1005,'Activity Log'!$C$6:$C$1005,$A314,'Activity Log'!$J$6:$J$1005,"No",'Activity Log'!$I$6:$I$1005,"&gt;0")))</x:f>
      </x:c>
      <x:c r="R314" s="57" t="str">
        <x:f>IF($C314="","",IF(OR($K314="Won",$K314="Lost",$K314="Disqualified"),"Closed",IF($Q314="","No date",IF(INT($Q314)&lt;TODAY(),"Overdue",IF(INT($Q314)=TODAY(),"Today",IF(INT($Q314)&lt;=TODAY()+7,"Next 7 days","Later"))))))</x:f>
      </x:c>
      <x:c r="S314" s="57" t="str">
        <x:f>IF(OR($C314="",$P314=""),"",TODAY()-INT($P314))</x:f>
      </x:c>
      <x:c r="T314" s="54"/>
      <x:c r="U314" s="54"/>
      <x:c r="V314" s="63"/>
      <x:c r="W314" s="74"/>
      <x:c r="X314" s="77" t="str">
        <x:f>IF($C314="","",IFERROR(VLOOKUP($M314,'Lists &amp; Rules'!$L$5:$N$13,2,FALSE),0))</x:f>
      </x:c>
      <x:c r="Y314" s="80" t="str">
        <x:f>IF(OR($C314="",$W314=""),"",ROUND($W314*$X314,0))</x:f>
      </x:c>
      <x:c r="Z314" s="57" t="str">
        <x:f>IF($A314="","",COUNTIF('Activity Log'!$C$6:$C$1005,$A314))</x:f>
      </x:c>
      <x:c r="AA314" s="68"/>
      <x:c r="AB314" s="63"/>
    </x:row>
    <x:row r="315">
      <x:c r="A315" s="54"/>
      <x:c r="B315" s="68"/>
      <x:c r="C315" s="54"/>
      <x:c r="D315" s="54"/>
      <x:c r="E315" s="54"/>
      <x:c r="F315" s="54"/>
      <x:c r="G315" s="54"/>
      <x:c r="H315" s="54"/>
      <x:c r="I315" s="54"/>
      <x:c r="J315" s="54"/>
      <x:c r="K315" s="54"/>
      <x:c r="L315" s="54"/>
      <x:c r="M315" s="54"/>
      <x:c r="N315" s="54"/>
      <x:c r="O315" s="57" t="str">
        <x:f>IF($C315="","",MAX(0,MIN(100,IFERROR(VLOOKUP($L315,'Lists &amp; Rules'!$P$5:$Q$8,2,FALSE),0)+IFERROR(VLOOKUP($N315,'Lists &amp; Rules'!$S$5:$T$7,2,FALSE),0)+IFERROR(VLOOKUP($M315,'Lists &amp; Rules'!$L$5:$N$13,3,FALSE),0)+IF($R315="Overdue",-10,IF($R315="Today",5,0))+MIN(15,$Z315*3))))</x:f>
      </x:c>
      <x:c r="P315" s="71" t="str">
        <x:f>IF($A315="","",IF(COUNTIF('Activity Log'!$C$6:$C$1005,$A315)=0,"",MAXIFS('Activity Log'!$B$6:$B$1005,'Activity Log'!$C$6:$C$1005,$A315)))</x:f>
      </x:c>
      <x:c r="Q315" s="71" t="str">
        <x:f>IF($A315="","",IF(COUNTIFS('Activity Log'!$C$6:$C$1005,$A315,'Activity Log'!$J$6:$J$1005,"No",'Activity Log'!$I$6:$I$1005,"&gt;0")=0,"",MINIFS('Activity Log'!$I$6:$I$1005,'Activity Log'!$C$6:$C$1005,$A315,'Activity Log'!$J$6:$J$1005,"No",'Activity Log'!$I$6:$I$1005,"&gt;0")))</x:f>
      </x:c>
      <x:c r="R315" s="57" t="str">
        <x:f>IF($C315="","",IF(OR($K315="Won",$K315="Lost",$K315="Disqualified"),"Closed",IF($Q315="","No date",IF(INT($Q315)&lt;TODAY(),"Overdue",IF(INT($Q315)=TODAY(),"Today",IF(INT($Q315)&lt;=TODAY()+7,"Next 7 days","Later"))))))</x:f>
      </x:c>
      <x:c r="S315" s="57" t="str">
        <x:f>IF(OR($C315="",$P315=""),"",TODAY()-INT($P315))</x:f>
      </x:c>
      <x:c r="T315" s="54"/>
      <x:c r="U315" s="54"/>
      <x:c r="V315" s="63"/>
      <x:c r="W315" s="74"/>
      <x:c r="X315" s="77" t="str">
        <x:f>IF($C315="","",IFERROR(VLOOKUP($M315,'Lists &amp; Rules'!$L$5:$N$13,2,FALSE),0))</x:f>
      </x:c>
      <x:c r="Y315" s="80" t="str">
        <x:f>IF(OR($C315="",$W315=""),"",ROUND($W315*$X315,0))</x:f>
      </x:c>
      <x:c r="Z315" s="57" t="str">
        <x:f>IF($A315="","",COUNTIF('Activity Log'!$C$6:$C$1005,$A315))</x:f>
      </x:c>
      <x:c r="AA315" s="68"/>
      <x:c r="AB315" s="63"/>
    </x:row>
    <x:row r="316">
      <x:c r="A316" s="54"/>
      <x:c r="B316" s="68"/>
      <x:c r="C316" s="54"/>
      <x:c r="D316" s="54"/>
      <x:c r="E316" s="54"/>
      <x:c r="F316" s="54"/>
      <x:c r="G316" s="54"/>
      <x:c r="H316" s="54"/>
      <x:c r="I316" s="54"/>
      <x:c r="J316" s="54"/>
      <x:c r="K316" s="54"/>
      <x:c r="L316" s="54"/>
      <x:c r="M316" s="54"/>
      <x:c r="N316" s="54"/>
      <x:c r="O316" s="57" t="str">
        <x:f>IF($C316="","",MAX(0,MIN(100,IFERROR(VLOOKUP($L316,'Lists &amp; Rules'!$P$5:$Q$8,2,FALSE),0)+IFERROR(VLOOKUP($N316,'Lists &amp; Rules'!$S$5:$T$7,2,FALSE),0)+IFERROR(VLOOKUP($M316,'Lists &amp; Rules'!$L$5:$N$13,3,FALSE),0)+IF($R316="Overdue",-10,IF($R316="Today",5,0))+MIN(15,$Z316*3))))</x:f>
      </x:c>
      <x:c r="P316" s="71" t="str">
        <x:f>IF($A316="","",IF(COUNTIF('Activity Log'!$C$6:$C$1005,$A316)=0,"",MAXIFS('Activity Log'!$B$6:$B$1005,'Activity Log'!$C$6:$C$1005,$A316)))</x:f>
      </x:c>
      <x:c r="Q316" s="71" t="str">
        <x:f>IF($A316="","",IF(COUNTIFS('Activity Log'!$C$6:$C$1005,$A316,'Activity Log'!$J$6:$J$1005,"No",'Activity Log'!$I$6:$I$1005,"&gt;0")=0,"",MINIFS('Activity Log'!$I$6:$I$1005,'Activity Log'!$C$6:$C$1005,$A316,'Activity Log'!$J$6:$J$1005,"No",'Activity Log'!$I$6:$I$1005,"&gt;0")))</x:f>
      </x:c>
      <x:c r="R316" s="57" t="str">
        <x:f>IF($C316="","",IF(OR($K316="Won",$K316="Lost",$K316="Disqualified"),"Closed",IF($Q316="","No date",IF(INT($Q316)&lt;TODAY(),"Overdue",IF(INT($Q316)=TODAY(),"Today",IF(INT($Q316)&lt;=TODAY()+7,"Next 7 days","Later"))))))</x:f>
      </x:c>
      <x:c r="S316" s="57" t="str">
        <x:f>IF(OR($C316="",$P316=""),"",TODAY()-INT($P316))</x:f>
      </x:c>
      <x:c r="T316" s="54"/>
      <x:c r="U316" s="54"/>
      <x:c r="V316" s="63"/>
      <x:c r="W316" s="74"/>
      <x:c r="X316" s="77" t="str">
        <x:f>IF($C316="","",IFERROR(VLOOKUP($M316,'Lists &amp; Rules'!$L$5:$N$13,2,FALSE),0))</x:f>
      </x:c>
      <x:c r="Y316" s="80" t="str">
        <x:f>IF(OR($C316="",$W316=""),"",ROUND($W316*$X316,0))</x:f>
      </x:c>
      <x:c r="Z316" s="57" t="str">
        <x:f>IF($A316="","",COUNTIF('Activity Log'!$C$6:$C$1005,$A316))</x:f>
      </x:c>
      <x:c r="AA316" s="68"/>
      <x:c r="AB316" s="63"/>
    </x:row>
    <x:row r="317">
      <x:c r="A317" s="54"/>
      <x:c r="B317" s="68"/>
      <x:c r="C317" s="54"/>
      <x:c r="D317" s="54"/>
      <x:c r="E317" s="54"/>
      <x:c r="F317" s="54"/>
      <x:c r="G317" s="54"/>
      <x:c r="H317" s="54"/>
      <x:c r="I317" s="54"/>
      <x:c r="J317" s="54"/>
      <x:c r="K317" s="54"/>
      <x:c r="L317" s="54"/>
      <x:c r="M317" s="54"/>
      <x:c r="N317" s="54"/>
      <x:c r="O317" s="57" t="str">
        <x:f>IF($C317="","",MAX(0,MIN(100,IFERROR(VLOOKUP($L317,'Lists &amp; Rules'!$P$5:$Q$8,2,FALSE),0)+IFERROR(VLOOKUP($N317,'Lists &amp; Rules'!$S$5:$T$7,2,FALSE),0)+IFERROR(VLOOKUP($M317,'Lists &amp; Rules'!$L$5:$N$13,3,FALSE),0)+IF($R317="Overdue",-10,IF($R317="Today",5,0))+MIN(15,$Z317*3))))</x:f>
      </x:c>
      <x:c r="P317" s="71" t="str">
        <x:f>IF($A317="","",IF(COUNTIF('Activity Log'!$C$6:$C$1005,$A317)=0,"",MAXIFS('Activity Log'!$B$6:$B$1005,'Activity Log'!$C$6:$C$1005,$A317)))</x:f>
      </x:c>
      <x:c r="Q317" s="71" t="str">
        <x:f>IF($A317="","",IF(COUNTIFS('Activity Log'!$C$6:$C$1005,$A317,'Activity Log'!$J$6:$J$1005,"No",'Activity Log'!$I$6:$I$1005,"&gt;0")=0,"",MINIFS('Activity Log'!$I$6:$I$1005,'Activity Log'!$C$6:$C$1005,$A317,'Activity Log'!$J$6:$J$1005,"No",'Activity Log'!$I$6:$I$1005,"&gt;0")))</x:f>
      </x:c>
      <x:c r="R317" s="57" t="str">
        <x:f>IF($C317="","",IF(OR($K317="Won",$K317="Lost",$K317="Disqualified"),"Closed",IF($Q317="","No date",IF(INT($Q317)&lt;TODAY(),"Overdue",IF(INT($Q317)=TODAY(),"Today",IF(INT($Q317)&lt;=TODAY()+7,"Next 7 days","Later"))))))</x:f>
      </x:c>
      <x:c r="S317" s="57" t="str">
        <x:f>IF(OR($C317="",$P317=""),"",TODAY()-INT($P317))</x:f>
      </x:c>
      <x:c r="T317" s="54"/>
      <x:c r="U317" s="54"/>
      <x:c r="V317" s="63"/>
      <x:c r="W317" s="74"/>
      <x:c r="X317" s="77" t="str">
        <x:f>IF($C317="","",IFERROR(VLOOKUP($M317,'Lists &amp; Rules'!$L$5:$N$13,2,FALSE),0))</x:f>
      </x:c>
      <x:c r="Y317" s="80" t="str">
        <x:f>IF(OR($C317="",$W317=""),"",ROUND($W317*$X317,0))</x:f>
      </x:c>
      <x:c r="Z317" s="57" t="str">
        <x:f>IF($A317="","",COUNTIF('Activity Log'!$C$6:$C$1005,$A317))</x:f>
      </x:c>
      <x:c r="AA317" s="68"/>
      <x:c r="AB317" s="63"/>
    </x:row>
    <x:row r="318">
      <x:c r="A318" s="54"/>
      <x:c r="B318" s="68"/>
      <x:c r="C318" s="54"/>
      <x:c r="D318" s="54"/>
      <x:c r="E318" s="54"/>
      <x:c r="F318" s="54"/>
      <x:c r="G318" s="54"/>
      <x:c r="H318" s="54"/>
      <x:c r="I318" s="54"/>
      <x:c r="J318" s="54"/>
      <x:c r="K318" s="54"/>
      <x:c r="L318" s="54"/>
      <x:c r="M318" s="54"/>
      <x:c r="N318" s="54"/>
      <x:c r="O318" s="57" t="str">
        <x:f>IF($C318="","",MAX(0,MIN(100,IFERROR(VLOOKUP($L318,'Lists &amp; Rules'!$P$5:$Q$8,2,FALSE),0)+IFERROR(VLOOKUP($N318,'Lists &amp; Rules'!$S$5:$T$7,2,FALSE),0)+IFERROR(VLOOKUP($M318,'Lists &amp; Rules'!$L$5:$N$13,3,FALSE),0)+IF($R318="Overdue",-10,IF($R318="Today",5,0))+MIN(15,$Z318*3))))</x:f>
      </x:c>
      <x:c r="P318" s="71" t="str">
        <x:f>IF($A318="","",IF(COUNTIF('Activity Log'!$C$6:$C$1005,$A318)=0,"",MAXIFS('Activity Log'!$B$6:$B$1005,'Activity Log'!$C$6:$C$1005,$A318)))</x:f>
      </x:c>
      <x:c r="Q318" s="71" t="str">
        <x:f>IF($A318="","",IF(COUNTIFS('Activity Log'!$C$6:$C$1005,$A318,'Activity Log'!$J$6:$J$1005,"No",'Activity Log'!$I$6:$I$1005,"&gt;0")=0,"",MINIFS('Activity Log'!$I$6:$I$1005,'Activity Log'!$C$6:$C$1005,$A318,'Activity Log'!$J$6:$J$1005,"No",'Activity Log'!$I$6:$I$1005,"&gt;0")))</x:f>
      </x:c>
      <x:c r="R318" s="57" t="str">
        <x:f>IF($C318="","",IF(OR($K318="Won",$K318="Lost",$K318="Disqualified"),"Closed",IF($Q318="","No date",IF(INT($Q318)&lt;TODAY(),"Overdue",IF(INT($Q318)=TODAY(),"Today",IF(INT($Q318)&lt;=TODAY()+7,"Next 7 days","Later"))))))</x:f>
      </x:c>
      <x:c r="S318" s="57" t="str">
        <x:f>IF(OR($C318="",$P318=""),"",TODAY()-INT($P318))</x:f>
      </x:c>
      <x:c r="T318" s="54"/>
      <x:c r="U318" s="54"/>
      <x:c r="V318" s="63"/>
      <x:c r="W318" s="74"/>
      <x:c r="X318" s="77" t="str">
        <x:f>IF($C318="","",IFERROR(VLOOKUP($M318,'Lists &amp; Rules'!$L$5:$N$13,2,FALSE),0))</x:f>
      </x:c>
      <x:c r="Y318" s="80" t="str">
        <x:f>IF(OR($C318="",$W318=""),"",ROUND($W318*$X318,0))</x:f>
      </x:c>
      <x:c r="Z318" s="57" t="str">
        <x:f>IF($A318="","",COUNTIF('Activity Log'!$C$6:$C$1005,$A318))</x:f>
      </x:c>
      <x:c r="AA318" s="68"/>
      <x:c r="AB318" s="63"/>
    </x:row>
    <x:row r="319">
      <x:c r="A319" s="54"/>
      <x:c r="B319" s="68"/>
      <x:c r="C319" s="54"/>
      <x:c r="D319" s="54"/>
      <x:c r="E319" s="54"/>
      <x:c r="F319" s="54"/>
      <x:c r="G319" s="54"/>
      <x:c r="H319" s="54"/>
      <x:c r="I319" s="54"/>
      <x:c r="J319" s="54"/>
      <x:c r="K319" s="54"/>
      <x:c r="L319" s="54"/>
      <x:c r="M319" s="54"/>
      <x:c r="N319" s="54"/>
      <x:c r="O319" s="57" t="str">
        <x:f>IF($C319="","",MAX(0,MIN(100,IFERROR(VLOOKUP($L319,'Lists &amp; Rules'!$P$5:$Q$8,2,FALSE),0)+IFERROR(VLOOKUP($N319,'Lists &amp; Rules'!$S$5:$T$7,2,FALSE),0)+IFERROR(VLOOKUP($M319,'Lists &amp; Rules'!$L$5:$N$13,3,FALSE),0)+IF($R319="Overdue",-10,IF($R319="Today",5,0))+MIN(15,$Z319*3))))</x:f>
      </x:c>
      <x:c r="P319" s="71" t="str">
        <x:f>IF($A319="","",IF(COUNTIF('Activity Log'!$C$6:$C$1005,$A319)=0,"",MAXIFS('Activity Log'!$B$6:$B$1005,'Activity Log'!$C$6:$C$1005,$A319)))</x:f>
      </x:c>
      <x:c r="Q319" s="71" t="str">
        <x:f>IF($A319="","",IF(COUNTIFS('Activity Log'!$C$6:$C$1005,$A319,'Activity Log'!$J$6:$J$1005,"No",'Activity Log'!$I$6:$I$1005,"&gt;0")=0,"",MINIFS('Activity Log'!$I$6:$I$1005,'Activity Log'!$C$6:$C$1005,$A319,'Activity Log'!$J$6:$J$1005,"No",'Activity Log'!$I$6:$I$1005,"&gt;0")))</x:f>
      </x:c>
      <x:c r="R319" s="57" t="str">
        <x:f>IF($C319="","",IF(OR($K319="Won",$K319="Lost",$K319="Disqualified"),"Closed",IF($Q319="","No date",IF(INT($Q319)&lt;TODAY(),"Overdue",IF(INT($Q319)=TODAY(),"Today",IF(INT($Q319)&lt;=TODAY()+7,"Next 7 days","Later"))))))</x:f>
      </x:c>
      <x:c r="S319" s="57" t="str">
        <x:f>IF(OR($C319="",$P319=""),"",TODAY()-INT($P319))</x:f>
      </x:c>
      <x:c r="T319" s="54"/>
      <x:c r="U319" s="54"/>
      <x:c r="V319" s="63"/>
      <x:c r="W319" s="74"/>
      <x:c r="X319" s="77" t="str">
        <x:f>IF($C319="","",IFERROR(VLOOKUP($M319,'Lists &amp; Rules'!$L$5:$N$13,2,FALSE),0))</x:f>
      </x:c>
      <x:c r="Y319" s="80" t="str">
        <x:f>IF(OR($C319="",$W319=""),"",ROUND($W319*$X319,0))</x:f>
      </x:c>
      <x:c r="Z319" s="57" t="str">
        <x:f>IF($A319="","",COUNTIF('Activity Log'!$C$6:$C$1005,$A319))</x:f>
      </x:c>
      <x:c r="AA319" s="68"/>
      <x:c r="AB319" s="63"/>
    </x:row>
    <x:row r="320">
      <x:c r="A320" s="54"/>
      <x:c r="B320" s="68"/>
      <x:c r="C320" s="54"/>
      <x:c r="D320" s="54"/>
      <x:c r="E320" s="54"/>
      <x:c r="F320" s="54"/>
      <x:c r="G320" s="54"/>
      <x:c r="H320" s="54"/>
      <x:c r="I320" s="54"/>
      <x:c r="J320" s="54"/>
      <x:c r="K320" s="54"/>
      <x:c r="L320" s="54"/>
      <x:c r="M320" s="54"/>
      <x:c r="N320" s="54"/>
      <x:c r="O320" s="57" t="str">
        <x:f>IF($C320="","",MAX(0,MIN(100,IFERROR(VLOOKUP($L320,'Lists &amp; Rules'!$P$5:$Q$8,2,FALSE),0)+IFERROR(VLOOKUP($N320,'Lists &amp; Rules'!$S$5:$T$7,2,FALSE),0)+IFERROR(VLOOKUP($M320,'Lists &amp; Rules'!$L$5:$N$13,3,FALSE),0)+IF($R320="Overdue",-10,IF($R320="Today",5,0))+MIN(15,$Z320*3))))</x:f>
      </x:c>
      <x:c r="P320" s="71" t="str">
        <x:f>IF($A320="","",IF(COUNTIF('Activity Log'!$C$6:$C$1005,$A320)=0,"",MAXIFS('Activity Log'!$B$6:$B$1005,'Activity Log'!$C$6:$C$1005,$A320)))</x:f>
      </x:c>
      <x:c r="Q320" s="71" t="str">
        <x:f>IF($A320="","",IF(COUNTIFS('Activity Log'!$C$6:$C$1005,$A320,'Activity Log'!$J$6:$J$1005,"No",'Activity Log'!$I$6:$I$1005,"&gt;0")=0,"",MINIFS('Activity Log'!$I$6:$I$1005,'Activity Log'!$C$6:$C$1005,$A320,'Activity Log'!$J$6:$J$1005,"No",'Activity Log'!$I$6:$I$1005,"&gt;0")))</x:f>
      </x:c>
      <x:c r="R320" s="57" t="str">
        <x:f>IF($C320="","",IF(OR($K320="Won",$K320="Lost",$K320="Disqualified"),"Closed",IF($Q320="","No date",IF(INT($Q320)&lt;TODAY(),"Overdue",IF(INT($Q320)=TODAY(),"Today",IF(INT($Q320)&lt;=TODAY()+7,"Next 7 days","Later"))))))</x:f>
      </x:c>
      <x:c r="S320" s="57" t="str">
        <x:f>IF(OR($C320="",$P320=""),"",TODAY()-INT($P320))</x:f>
      </x:c>
      <x:c r="T320" s="54"/>
      <x:c r="U320" s="54"/>
      <x:c r="V320" s="63"/>
      <x:c r="W320" s="74"/>
      <x:c r="X320" s="77" t="str">
        <x:f>IF($C320="","",IFERROR(VLOOKUP($M320,'Lists &amp; Rules'!$L$5:$N$13,2,FALSE),0))</x:f>
      </x:c>
      <x:c r="Y320" s="80" t="str">
        <x:f>IF(OR($C320="",$W320=""),"",ROUND($W320*$X320,0))</x:f>
      </x:c>
      <x:c r="Z320" s="57" t="str">
        <x:f>IF($A320="","",COUNTIF('Activity Log'!$C$6:$C$1005,$A320))</x:f>
      </x:c>
      <x:c r="AA320" s="68"/>
      <x:c r="AB320" s="63"/>
    </x:row>
    <x:row r="321">
      <x:c r="A321" s="54"/>
      <x:c r="B321" s="68"/>
      <x:c r="C321" s="54"/>
      <x:c r="D321" s="54"/>
      <x:c r="E321" s="54"/>
      <x:c r="F321" s="54"/>
      <x:c r="G321" s="54"/>
      <x:c r="H321" s="54"/>
      <x:c r="I321" s="54"/>
      <x:c r="J321" s="54"/>
      <x:c r="K321" s="54"/>
      <x:c r="L321" s="54"/>
      <x:c r="M321" s="54"/>
      <x:c r="N321" s="54"/>
      <x:c r="O321" s="57" t="str">
        <x:f>IF($C321="","",MAX(0,MIN(100,IFERROR(VLOOKUP($L321,'Lists &amp; Rules'!$P$5:$Q$8,2,FALSE),0)+IFERROR(VLOOKUP($N321,'Lists &amp; Rules'!$S$5:$T$7,2,FALSE),0)+IFERROR(VLOOKUP($M321,'Lists &amp; Rules'!$L$5:$N$13,3,FALSE),0)+IF($R321="Overdue",-10,IF($R321="Today",5,0))+MIN(15,$Z321*3))))</x:f>
      </x:c>
      <x:c r="P321" s="71" t="str">
        <x:f>IF($A321="","",IF(COUNTIF('Activity Log'!$C$6:$C$1005,$A321)=0,"",MAXIFS('Activity Log'!$B$6:$B$1005,'Activity Log'!$C$6:$C$1005,$A321)))</x:f>
      </x:c>
      <x:c r="Q321" s="71" t="str">
        <x:f>IF($A321="","",IF(COUNTIFS('Activity Log'!$C$6:$C$1005,$A321,'Activity Log'!$J$6:$J$1005,"No",'Activity Log'!$I$6:$I$1005,"&gt;0")=0,"",MINIFS('Activity Log'!$I$6:$I$1005,'Activity Log'!$C$6:$C$1005,$A321,'Activity Log'!$J$6:$J$1005,"No",'Activity Log'!$I$6:$I$1005,"&gt;0")))</x:f>
      </x:c>
      <x:c r="R321" s="57" t="str">
        <x:f>IF($C321="","",IF(OR($K321="Won",$K321="Lost",$K321="Disqualified"),"Closed",IF($Q321="","No date",IF(INT($Q321)&lt;TODAY(),"Overdue",IF(INT($Q321)=TODAY(),"Today",IF(INT($Q321)&lt;=TODAY()+7,"Next 7 days","Later"))))))</x:f>
      </x:c>
      <x:c r="S321" s="57" t="str">
        <x:f>IF(OR($C321="",$P321=""),"",TODAY()-INT($P321))</x:f>
      </x:c>
      <x:c r="T321" s="54"/>
      <x:c r="U321" s="54"/>
      <x:c r="V321" s="63"/>
      <x:c r="W321" s="74"/>
      <x:c r="X321" s="77" t="str">
        <x:f>IF($C321="","",IFERROR(VLOOKUP($M321,'Lists &amp; Rules'!$L$5:$N$13,2,FALSE),0))</x:f>
      </x:c>
      <x:c r="Y321" s="80" t="str">
        <x:f>IF(OR($C321="",$W321=""),"",ROUND($W321*$X321,0))</x:f>
      </x:c>
      <x:c r="Z321" s="57" t="str">
        <x:f>IF($A321="","",COUNTIF('Activity Log'!$C$6:$C$1005,$A321))</x:f>
      </x:c>
      <x:c r="AA321" s="68"/>
      <x:c r="AB321" s="63"/>
    </x:row>
    <x:row r="322">
      <x:c r="A322" s="54"/>
      <x:c r="B322" s="68"/>
      <x:c r="C322" s="54"/>
      <x:c r="D322" s="54"/>
      <x:c r="E322" s="54"/>
      <x:c r="F322" s="54"/>
      <x:c r="G322" s="54"/>
      <x:c r="H322" s="54"/>
      <x:c r="I322" s="54"/>
      <x:c r="J322" s="54"/>
      <x:c r="K322" s="54"/>
      <x:c r="L322" s="54"/>
      <x:c r="M322" s="54"/>
      <x:c r="N322" s="54"/>
      <x:c r="O322" s="57" t="str">
        <x:f>IF($C322="","",MAX(0,MIN(100,IFERROR(VLOOKUP($L322,'Lists &amp; Rules'!$P$5:$Q$8,2,FALSE),0)+IFERROR(VLOOKUP($N322,'Lists &amp; Rules'!$S$5:$T$7,2,FALSE),0)+IFERROR(VLOOKUP($M322,'Lists &amp; Rules'!$L$5:$N$13,3,FALSE),0)+IF($R322="Overdue",-10,IF($R322="Today",5,0))+MIN(15,$Z322*3))))</x:f>
      </x:c>
      <x:c r="P322" s="71" t="str">
        <x:f>IF($A322="","",IF(COUNTIF('Activity Log'!$C$6:$C$1005,$A322)=0,"",MAXIFS('Activity Log'!$B$6:$B$1005,'Activity Log'!$C$6:$C$1005,$A322)))</x:f>
      </x:c>
      <x:c r="Q322" s="71" t="str">
        <x:f>IF($A322="","",IF(COUNTIFS('Activity Log'!$C$6:$C$1005,$A322,'Activity Log'!$J$6:$J$1005,"No",'Activity Log'!$I$6:$I$1005,"&gt;0")=0,"",MINIFS('Activity Log'!$I$6:$I$1005,'Activity Log'!$C$6:$C$1005,$A322,'Activity Log'!$J$6:$J$1005,"No",'Activity Log'!$I$6:$I$1005,"&gt;0")))</x:f>
      </x:c>
      <x:c r="R322" s="57" t="str">
        <x:f>IF($C322="","",IF(OR($K322="Won",$K322="Lost",$K322="Disqualified"),"Closed",IF($Q322="","No date",IF(INT($Q322)&lt;TODAY(),"Overdue",IF(INT($Q322)=TODAY(),"Today",IF(INT($Q322)&lt;=TODAY()+7,"Next 7 days","Later"))))))</x:f>
      </x:c>
      <x:c r="S322" s="57" t="str">
        <x:f>IF(OR($C322="",$P322=""),"",TODAY()-INT($P322))</x:f>
      </x:c>
      <x:c r="T322" s="54"/>
      <x:c r="U322" s="54"/>
      <x:c r="V322" s="63"/>
      <x:c r="W322" s="74"/>
      <x:c r="X322" s="77" t="str">
        <x:f>IF($C322="","",IFERROR(VLOOKUP($M322,'Lists &amp; Rules'!$L$5:$N$13,2,FALSE),0))</x:f>
      </x:c>
      <x:c r="Y322" s="80" t="str">
        <x:f>IF(OR($C322="",$W322=""),"",ROUND($W322*$X322,0))</x:f>
      </x:c>
      <x:c r="Z322" s="57" t="str">
        <x:f>IF($A322="","",COUNTIF('Activity Log'!$C$6:$C$1005,$A322))</x:f>
      </x:c>
      <x:c r="AA322" s="68"/>
      <x:c r="AB322" s="63"/>
    </x:row>
    <x:row r="323">
      <x:c r="A323" s="54"/>
      <x:c r="B323" s="68"/>
      <x:c r="C323" s="54"/>
      <x:c r="D323" s="54"/>
      <x:c r="E323" s="54"/>
      <x:c r="F323" s="54"/>
      <x:c r="G323" s="54"/>
      <x:c r="H323" s="54"/>
      <x:c r="I323" s="54"/>
      <x:c r="J323" s="54"/>
      <x:c r="K323" s="54"/>
      <x:c r="L323" s="54"/>
      <x:c r="M323" s="54"/>
      <x:c r="N323" s="54"/>
      <x:c r="O323" s="57" t="str">
        <x:f>IF($C323="","",MAX(0,MIN(100,IFERROR(VLOOKUP($L323,'Lists &amp; Rules'!$P$5:$Q$8,2,FALSE),0)+IFERROR(VLOOKUP($N323,'Lists &amp; Rules'!$S$5:$T$7,2,FALSE),0)+IFERROR(VLOOKUP($M323,'Lists &amp; Rules'!$L$5:$N$13,3,FALSE),0)+IF($R323="Overdue",-10,IF($R323="Today",5,0))+MIN(15,$Z323*3))))</x:f>
      </x:c>
      <x:c r="P323" s="71" t="str">
        <x:f>IF($A323="","",IF(COUNTIF('Activity Log'!$C$6:$C$1005,$A323)=0,"",MAXIFS('Activity Log'!$B$6:$B$1005,'Activity Log'!$C$6:$C$1005,$A323)))</x:f>
      </x:c>
      <x:c r="Q323" s="71" t="str">
        <x:f>IF($A323="","",IF(COUNTIFS('Activity Log'!$C$6:$C$1005,$A323,'Activity Log'!$J$6:$J$1005,"No",'Activity Log'!$I$6:$I$1005,"&gt;0")=0,"",MINIFS('Activity Log'!$I$6:$I$1005,'Activity Log'!$C$6:$C$1005,$A323,'Activity Log'!$J$6:$J$1005,"No",'Activity Log'!$I$6:$I$1005,"&gt;0")))</x:f>
      </x:c>
      <x:c r="R323" s="57" t="str">
        <x:f>IF($C323="","",IF(OR($K323="Won",$K323="Lost",$K323="Disqualified"),"Closed",IF($Q323="","No date",IF(INT($Q323)&lt;TODAY(),"Overdue",IF(INT($Q323)=TODAY(),"Today",IF(INT($Q323)&lt;=TODAY()+7,"Next 7 days","Later"))))))</x:f>
      </x:c>
      <x:c r="S323" s="57" t="str">
        <x:f>IF(OR($C323="",$P323=""),"",TODAY()-INT($P323))</x:f>
      </x:c>
      <x:c r="T323" s="54"/>
      <x:c r="U323" s="54"/>
      <x:c r="V323" s="63"/>
      <x:c r="W323" s="74"/>
      <x:c r="X323" s="77" t="str">
        <x:f>IF($C323="","",IFERROR(VLOOKUP($M323,'Lists &amp; Rules'!$L$5:$N$13,2,FALSE),0))</x:f>
      </x:c>
      <x:c r="Y323" s="80" t="str">
        <x:f>IF(OR($C323="",$W323=""),"",ROUND($W323*$X323,0))</x:f>
      </x:c>
      <x:c r="Z323" s="57" t="str">
        <x:f>IF($A323="","",COUNTIF('Activity Log'!$C$6:$C$1005,$A323))</x:f>
      </x:c>
      <x:c r="AA323" s="68"/>
      <x:c r="AB323" s="63"/>
    </x:row>
    <x:row r="324">
      <x:c r="A324" s="54"/>
      <x:c r="B324" s="68"/>
      <x:c r="C324" s="54"/>
      <x:c r="D324" s="54"/>
      <x:c r="E324" s="54"/>
      <x:c r="F324" s="54"/>
      <x:c r="G324" s="54"/>
      <x:c r="H324" s="54"/>
      <x:c r="I324" s="54"/>
      <x:c r="J324" s="54"/>
      <x:c r="K324" s="54"/>
      <x:c r="L324" s="54"/>
      <x:c r="M324" s="54"/>
      <x:c r="N324" s="54"/>
      <x:c r="O324" s="57" t="str">
        <x:f>IF($C324="","",MAX(0,MIN(100,IFERROR(VLOOKUP($L324,'Lists &amp; Rules'!$P$5:$Q$8,2,FALSE),0)+IFERROR(VLOOKUP($N324,'Lists &amp; Rules'!$S$5:$T$7,2,FALSE),0)+IFERROR(VLOOKUP($M324,'Lists &amp; Rules'!$L$5:$N$13,3,FALSE),0)+IF($R324="Overdue",-10,IF($R324="Today",5,0))+MIN(15,$Z324*3))))</x:f>
      </x:c>
      <x:c r="P324" s="71" t="str">
        <x:f>IF($A324="","",IF(COUNTIF('Activity Log'!$C$6:$C$1005,$A324)=0,"",MAXIFS('Activity Log'!$B$6:$B$1005,'Activity Log'!$C$6:$C$1005,$A324)))</x:f>
      </x:c>
      <x:c r="Q324" s="71" t="str">
        <x:f>IF($A324="","",IF(COUNTIFS('Activity Log'!$C$6:$C$1005,$A324,'Activity Log'!$J$6:$J$1005,"No",'Activity Log'!$I$6:$I$1005,"&gt;0")=0,"",MINIFS('Activity Log'!$I$6:$I$1005,'Activity Log'!$C$6:$C$1005,$A324,'Activity Log'!$J$6:$J$1005,"No",'Activity Log'!$I$6:$I$1005,"&gt;0")))</x:f>
      </x:c>
      <x:c r="R324" s="57" t="str">
        <x:f>IF($C324="","",IF(OR($K324="Won",$K324="Lost",$K324="Disqualified"),"Closed",IF($Q324="","No date",IF(INT($Q324)&lt;TODAY(),"Overdue",IF(INT($Q324)=TODAY(),"Today",IF(INT($Q324)&lt;=TODAY()+7,"Next 7 days","Later"))))))</x:f>
      </x:c>
      <x:c r="S324" s="57" t="str">
        <x:f>IF(OR($C324="",$P324=""),"",TODAY()-INT($P324))</x:f>
      </x:c>
      <x:c r="T324" s="54"/>
      <x:c r="U324" s="54"/>
      <x:c r="V324" s="63"/>
      <x:c r="W324" s="74"/>
      <x:c r="X324" s="77" t="str">
        <x:f>IF($C324="","",IFERROR(VLOOKUP($M324,'Lists &amp; Rules'!$L$5:$N$13,2,FALSE),0))</x:f>
      </x:c>
      <x:c r="Y324" s="80" t="str">
        <x:f>IF(OR($C324="",$W324=""),"",ROUND($W324*$X324,0))</x:f>
      </x:c>
      <x:c r="Z324" s="57" t="str">
        <x:f>IF($A324="","",COUNTIF('Activity Log'!$C$6:$C$1005,$A324))</x:f>
      </x:c>
      <x:c r="AA324" s="68"/>
      <x:c r="AB324" s="63"/>
    </x:row>
    <x:row r="325">
      <x:c r="A325" s="54"/>
      <x:c r="B325" s="68"/>
      <x:c r="C325" s="54"/>
      <x:c r="D325" s="54"/>
      <x:c r="E325" s="54"/>
      <x:c r="F325" s="54"/>
      <x:c r="G325" s="54"/>
      <x:c r="H325" s="54"/>
      <x:c r="I325" s="54"/>
      <x:c r="J325" s="54"/>
      <x:c r="K325" s="54"/>
      <x:c r="L325" s="54"/>
      <x:c r="M325" s="54"/>
      <x:c r="N325" s="54"/>
      <x:c r="O325" s="57" t="str">
        <x:f>IF($C325="","",MAX(0,MIN(100,IFERROR(VLOOKUP($L325,'Lists &amp; Rules'!$P$5:$Q$8,2,FALSE),0)+IFERROR(VLOOKUP($N325,'Lists &amp; Rules'!$S$5:$T$7,2,FALSE),0)+IFERROR(VLOOKUP($M325,'Lists &amp; Rules'!$L$5:$N$13,3,FALSE),0)+IF($R325="Overdue",-10,IF($R325="Today",5,0))+MIN(15,$Z325*3))))</x:f>
      </x:c>
      <x:c r="P325" s="71" t="str">
        <x:f>IF($A325="","",IF(COUNTIF('Activity Log'!$C$6:$C$1005,$A325)=0,"",MAXIFS('Activity Log'!$B$6:$B$1005,'Activity Log'!$C$6:$C$1005,$A325)))</x:f>
      </x:c>
      <x:c r="Q325" s="71" t="str">
        <x:f>IF($A325="","",IF(COUNTIFS('Activity Log'!$C$6:$C$1005,$A325,'Activity Log'!$J$6:$J$1005,"No",'Activity Log'!$I$6:$I$1005,"&gt;0")=0,"",MINIFS('Activity Log'!$I$6:$I$1005,'Activity Log'!$C$6:$C$1005,$A325,'Activity Log'!$J$6:$J$1005,"No",'Activity Log'!$I$6:$I$1005,"&gt;0")))</x:f>
      </x:c>
      <x:c r="R325" s="57" t="str">
        <x:f>IF($C325="","",IF(OR($K325="Won",$K325="Lost",$K325="Disqualified"),"Closed",IF($Q325="","No date",IF(INT($Q325)&lt;TODAY(),"Overdue",IF(INT($Q325)=TODAY(),"Today",IF(INT($Q325)&lt;=TODAY()+7,"Next 7 days","Later"))))))</x:f>
      </x:c>
      <x:c r="S325" s="57" t="str">
        <x:f>IF(OR($C325="",$P325=""),"",TODAY()-INT($P325))</x:f>
      </x:c>
      <x:c r="T325" s="54"/>
      <x:c r="U325" s="54"/>
      <x:c r="V325" s="63"/>
      <x:c r="W325" s="74"/>
      <x:c r="X325" s="77" t="str">
        <x:f>IF($C325="","",IFERROR(VLOOKUP($M325,'Lists &amp; Rules'!$L$5:$N$13,2,FALSE),0))</x:f>
      </x:c>
      <x:c r="Y325" s="80" t="str">
        <x:f>IF(OR($C325="",$W325=""),"",ROUND($W325*$X325,0))</x:f>
      </x:c>
      <x:c r="Z325" s="57" t="str">
        <x:f>IF($A325="","",COUNTIF('Activity Log'!$C$6:$C$1005,$A325))</x:f>
      </x:c>
      <x:c r="AA325" s="68"/>
      <x:c r="AB325" s="63"/>
    </x:row>
    <x:row r="326">
      <x:c r="A326" s="54"/>
      <x:c r="B326" s="68"/>
      <x:c r="C326" s="54"/>
      <x:c r="D326" s="54"/>
      <x:c r="E326" s="54"/>
      <x:c r="F326" s="54"/>
      <x:c r="G326" s="54"/>
      <x:c r="H326" s="54"/>
      <x:c r="I326" s="54"/>
      <x:c r="J326" s="54"/>
      <x:c r="K326" s="54"/>
      <x:c r="L326" s="54"/>
      <x:c r="M326" s="54"/>
      <x:c r="N326" s="54"/>
      <x:c r="O326" s="57" t="str">
        <x:f>IF($C326="","",MAX(0,MIN(100,IFERROR(VLOOKUP($L326,'Lists &amp; Rules'!$P$5:$Q$8,2,FALSE),0)+IFERROR(VLOOKUP($N326,'Lists &amp; Rules'!$S$5:$T$7,2,FALSE),0)+IFERROR(VLOOKUP($M326,'Lists &amp; Rules'!$L$5:$N$13,3,FALSE),0)+IF($R326="Overdue",-10,IF($R326="Today",5,0))+MIN(15,$Z326*3))))</x:f>
      </x:c>
      <x:c r="P326" s="71" t="str">
        <x:f>IF($A326="","",IF(COUNTIF('Activity Log'!$C$6:$C$1005,$A326)=0,"",MAXIFS('Activity Log'!$B$6:$B$1005,'Activity Log'!$C$6:$C$1005,$A326)))</x:f>
      </x:c>
      <x:c r="Q326" s="71" t="str">
        <x:f>IF($A326="","",IF(COUNTIFS('Activity Log'!$C$6:$C$1005,$A326,'Activity Log'!$J$6:$J$1005,"No",'Activity Log'!$I$6:$I$1005,"&gt;0")=0,"",MINIFS('Activity Log'!$I$6:$I$1005,'Activity Log'!$C$6:$C$1005,$A326,'Activity Log'!$J$6:$J$1005,"No",'Activity Log'!$I$6:$I$1005,"&gt;0")))</x:f>
      </x:c>
      <x:c r="R326" s="57" t="str">
        <x:f>IF($C326="","",IF(OR($K326="Won",$K326="Lost",$K326="Disqualified"),"Closed",IF($Q326="","No date",IF(INT($Q326)&lt;TODAY(),"Overdue",IF(INT($Q326)=TODAY(),"Today",IF(INT($Q326)&lt;=TODAY()+7,"Next 7 days","Later"))))))</x:f>
      </x:c>
      <x:c r="S326" s="57" t="str">
        <x:f>IF(OR($C326="",$P326=""),"",TODAY()-INT($P326))</x:f>
      </x:c>
      <x:c r="T326" s="54"/>
      <x:c r="U326" s="54"/>
      <x:c r="V326" s="63"/>
      <x:c r="W326" s="74"/>
      <x:c r="X326" s="77" t="str">
        <x:f>IF($C326="","",IFERROR(VLOOKUP($M326,'Lists &amp; Rules'!$L$5:$N$13,2,FALSE),0))</x:f>
      </x:c>
      <x:c r="Y326" s="80" t="str">
        <x:f>IF(OR($C326="",$W326=""),"",ROUND($W326*$X326,0))</x:f>
      </x:c>
      <x:c r="Z326" s="57" t="str">
        <x:f>IF($A326="","",COUNTIF('Activity Log'!$C$6:$C$1005,$A326))</x:f>
      </x:c>
      <x:c r="AA326" s="68"/>
      <x:c r="AB326" s="63"/>
    </x:row>
    <x:row r="327">
      <x:c r="A327" s="54"/>
      <x:c r="B327" s="68"/>
      <x:c r="C327" s="54"/>
      <x:c r="D327" s="54"/>
      <x:c r="E327" s="54"/>
      <x:c r="F327" s="54"/>
      <x:c r="G327" s="54"/>
      <x:c r="H327" s="54"/>
      <x:c r="I327" s="54"/>
      <x:c r="J327" s="54"/>
      <x:c r="K327" s="54"/>
      <x:c r="L327" s="54"/>
      <x:c r="M327" s="54"/>
      <x:c r="N327" s="54"/>
      <x:c r="O327" s="57" t="str">
        <x:f>IF($C327="","",MAX(0,MIN(100,IFERROR(VLOOKUP($L327,'Lists &amp; Rules'!$P$5:$Q$8,2,FALSE),0)+IFERROR(VLOOKUP($N327,'Lists &amp; Rules'!$S$5:$T$7,2,FALSE),0)+IFERROR(VLOOKUP($M327,'Lists &amp; Rules'!$L$5:$N$13,3,FALSE),0)+IF($R327="Overdue",-10,IF($R327="Today",5,0))+MIN(15,$Z327*3))))</x:f>
      </x:c>
      <x:c r="P327" s="71" t="str">
        <x:f>IF($A327="","",IF(COUNTIF('Activity Log'!$C$6:$C$1005,$A327)=0,"",MAXIFS('Activity Log'!$B$6:$B$1005,'Activity Log'!$C$6:$C$1005,$A327)))</x:f>
      </x:c>
      <x:c r="Q327" s="71" t="str">
        <x:f>IF($A327="","",IF(COUNTIFS('Activity Log'!$C$6:$C$1005,$A327,'Activity Log'!$J$6:$J$1005,"No",'Activity Log'!$I$6:$I$1005,"&gt;0")=0,"",MINIFS('Activity Log'!$I$6:$I$1005,'Activity Log'!$C$6:$C$1005,$A327,'Activity Log'!$J$6:$J$1005,"No",'Activity Log'!$I$6:$I$1005,"&gt;0")))</x:f>
      </x:c>
      <x:c r="R327" s="57" t="str">
        <x:f>IF($C327="","",IF(OR($K327="Won",$K327="Lost",$K327="Disqualified"),"Closed",IF($Q327="","No date",IF(INT($Q327)&lt;TODAY(),"Overdue",IF(INT($Q327)=TODAY(),"Today",IF(INT($Q327)&lt;=TODAY()+7,"Next 7 days","Later"))))))</x:f>
      </x:c>
      <x:c r="S327" s="57" t="str">
        <x:f>IF(OR($C327="",$P327=""),"",TODAY()-INT($P327))</x:f>
      </x:c>
      <x:c r="T327" s="54"/>
      <x:c r="U327" s="54"/>
      <x:c r="V327" s="63"/>
      <x:c r="W327" s="74"/>
      <x:c r="X327" s="77" t="str">
        <x:f>IF($C327="","",IFERROR(VLOOKUP($M327,'Lists &amp; Rules'!$L$5:$N$13,2,FALSE),0))</x:f>
      </x:c>
      <x:c r="Y327" s="80" t="str">
        <x:f>IF(OR($C327="",$W327=""),"",ROUND($W327*$X327,0))</x:f>
      </x:c>
      <x:c r="Z327" s="57" t="str">
        <x:f>IF($A327="","",COUNTIF('Activity Log'!$C$6:$C$1005,$A327))</x:f>
      </x:c>
      <x:c r="AA327" s="68"/>
      <x:c r="AB327" s="63"/>
    </x:row>
    <x:row r="328">
      <x:c r="A328" s="54"/>
      <x:c r="B328" s="68"/>
      <x:c r="C328" s="54"/>
      <x:c r="D328" s="54"/>
      <x:c r="E328" s="54"/>
      <x:c r="F328" s="54"/>
      <x:c r="G328" s="54"/>
      <x:c r="H328" s="54"/>
      <x:c r="I328" s="54"/>
      <x:c r="J328" s="54"/>
      <x:c r="K328" s="54"/>
      <x:c r="L328" s="54"/>
      <x:c r="M328" s="54"/>
      <x:c r="N328" s="54"/>
      <x:c r="O328" s="57" t="str">
        <x:f>IF($C328="","",MAX(0,MIN(100,IFERROR(VLOOKUP($L328,'Lists &amp; Rules'!$P$5:$Q$8,2,FALSE),0)+IFERROR(VLOOKUP($N328,'Lists &amp; Rules'!$S$5:$T$7,2,FALSE),0)+IFERROR(VLOOKUP($M328,'Lists &amp; Rules'!$L$5:$N$13,3,FALSE),0)+IF($R328="Overdue",-10,IF($R328="Today",5,0))+MIN(15,$Z328*3))))</x:f>
      </x:c>
      <x:c r="P328" s="71" t="str">
        <x:f>IF($A328="","",IF(COUNTIF('Activity Log'!$C$6:$C$1005,$A328)=0,"",MAXIFS('Activity Log'!$B$6:$B$1005,'Activity Log'!$C$6:$C$1005,$A328)))</x:f>
      </x:c>
      <x:c r="Q328" s="71" t="str">
        <x:f>IF($A328="","",IF(COUNTIFS('Activity Log'!$C$6:$C$1005,$A328,'Activity Log'!$J$6:$J$1005,"No",'Activity Log'!$I$6:$I$1005,"&gt;0")=0,"",MINIFS('Activity Log'!$I$6:$I$1005,'Activity Log'!$C$6:$C$1005,$A328,'Activity Log'!$J$6:$J$1005,"No",'Activity Log'!$I$6:$I$1005,"&gt;0")))</x:f>
      </x:c>
      <x:c r="R328" s="57" t="str">
        <x:f>IF($C328="","",IF(OR($K328="Won",$K328="Lost",$K328="Disqualified"),"Closed",IF($Q328="","No date",IF(INT($Q328)&lt;TODAY(),"Overdue",IF(INT($Q328)=TODAY(),"Today",IF(INT($Q328)&lt;=TODAY()+7,"Next 7 days","Later"))))))</x:f>
      </x:c>
      <x:c r="S328" s="57" t="str">
        <x:f>IF(OR($C328="",$P328=""),"",TODAY()-INT($P328))</x:f>
      </x:c>
      <x:c r="T328" s="54"/>
      <x:c r="U328" s="54"/>
      <x:c r="V328" s="63"/>
      <x:c r="W328" s="74"/>
      <x:c r="X328" s="77" t="str">
        <x:f>IF($C328="","",IFERROR(VLOOKUP($M328,'Lists &amp; Rules'!$L$5:$N$13,2,FALSE),0))</x:f>
      </x:c>
      <x:c r="Y328" s="80" t="str">
        <x:f>IF(OR($C328="",$W328=""),"",ROUND($W328*$X328,0))</x:f>
      </x:c>
      <x:c r="Z328" s="57" t="str">
        <x:f>IF($A328="","",COUNTIF('Activity Log'!$C$6:$C$1005,$A328))</x:f>
      </x:c>
      <x:c r="AA328" s="68"/>
      <x:c r="AB328" s="63"/>
    </x:row>
    <x:row r="329">
      <x:c r="A329" s="54"/>
      <x:c r="B329" s="68"/>
      <x:c r="C329" s="54"/>
      <x:c r="D329" s="54"/>
      <x:c r="E329" s="54"/>
      <x:c r="F329" s="54"/>
      <x:c r="G329" s="54"/>
      <x:c r="H329" s="54"/>
      <x:c r="I329" s="54"/>
      <x:c r="J329" s="54"/>
      <x:c r="K329" s="54"/>
      <x:c r="L329" s="54"/>
      <x:c r="M329" s="54"/>
      <x:c r="N329" s="54"/>
      <x:c r="O329" s="57" t="str">
        <x:f>IF($C329="","",MAX(0,MIN(100,IFERROR(VLOOKUP($L329,'Lists &amp; Rules'!$P$5:$Q$8,2,FALSE),0)+IFERROR(VLOOKUP($N329,'Lists &amp; Rules'!$S$5:$T$7,2,FALSE),0)+IFERROR(VLOOKUP($M329,'Lists &amp; Rules'!$L$5:$N$13,3,FALSE),0)+IF($R329="Overdue",-10,IF($R329="Today",5,0))+MIN(15,$Z329*3))))</x:f>
      </x:c>
      <x:c r="P329" s="71" t="str">
        <x:f>IF($A329="","",IF(COUNTIF('Activity Log'!$C$6:$C$1005,$A329)=0,"",MAXIFS('Activity Log'!$B$6:$B$1005,'Activity Log'!$C$6:$C$1005,$A329)))</x:f>
      </x:c>
      <x:c r="Q329" s="71" t="str">
        <x:f>IF($A329="","",IF(COUNTIFS('Activity Log'!$C$6:$C$1005,$A329,'Activity Log'!$J$6:$J$1005,"No",'Activity Log'!$I$6:$I$1005,"&gt;0")=0,"",MINIFS('Activity Log'!$I$6:$I$1005,'Activity Log'!$C$6:$C$1005,$A329,'Activity Log'!$J$6:$J$1005,"No",'Activity Log'!$I$6:$I$1005,"&gt;0")))</x:f>
      </x:c>
      <x:c r="R329" s="57" t="str">
        <x:f>IF($C329="","",IF(OR($K329="Won",$K329="Lost",$K329="Disqualified"),"Closed",IF($Q329="","No date",IF(INT($Q329)&lt;TODAY(),"Overdue",IF(INT($Q329)=TODAY(),"Today",IF(INT($Q329)&lt;=TODAY()+7,"Next 7 days","Later"))))))</x:f>
      </x:c>
      <x:c r="S329" s="57" t="str">
        <x:f>IF(OR($C329="",$P329=""),"",TODAY()-INT($P329))</x:f>
      </x:c>
      <x:c r="T329" s="54"/>
      <x:c r="U329" s="54"/>
      <x:c r="V329" s="63"/>
      <x:c r="W329" s="74"/>
      <x:c r="X329" s="77" t="str">
        <x:f>IF($C329="","",IFERROR(VLOOKUP($M329,'Lists &amp; Rules'!$L$5:$N$13,2,FALSE),0))</x:f>
      </x:c>
      <x:c r="Y329" s="80" t="str">
        <x:f>IF(OR($C329="",$W329=""),"",ROUND($W329*$X329,0))</x:f>
      </x:c>
      <x:c r="Z329" s="57" t="str">
        <x:f>IF($A329="","",COUNTIF('Activity Log'!$C$6:$C$1005,$A329))</x:f>
      </x:c>
      <x:c r="AA329" s="68"/>
      <x:c r="AB329" s="63"/>
    </x:row>
    <x:row r="330">
      <x:c r="A330" s="54"/>
      <x:c r="B330" s="68"/>
      <x:c r="C330" s="54"/>
      <x:c r="D330" s="54"/>
      <x:c r="E330" s="54"/>
      <x:c r="F330" s="54"/>
      <x:c r="G330" s="54"/>
      <x:c r="H330" s="54"/>
      <x:c r="I330" s="54"/>
      <x:c r="J330" s="54"/>
      <x:c r="K330" s="54"/>
      <x:c r="L330" s="54"/>
      <x:c r="M330" s="54"/>
      <x:c r="N330" s="54"/>
      <x:c r="O330" s="57" t="str">
        <x:f>IF($C330="","",MAX(0,MIN(100,IFERROR(VLOOKUP($L330,'Lists &amp; Rules'!$P$5:$Q$8,2,FALSE),0)+IFERROR(VLOOKUP($N330,'Lists &amp; Rules'!$S$5:$T$7,2,FALSE),0)+IFERROR(VLOOKUP($M330,'Lists &amp; Rules'!$L$5:$N$13,3,FALSE),0)+IF($R330="Overdue",-10,IF($R330="Today",5,0))+MIN(15,$Z330*3))))</x:f>
      </x:c>
      <x:c r="P330" s="71" t="str">
        <x:f>IF($A330="","",IF(COUNTIF('Activity Log'!$C$6:$C$1005,$A330)=0,"",MAXIFS('Activity Log'!$B$6:$B$1005,'Activity Log'!$C$6:$C$1005,$A330)))</x:f>
      </x:c>
      <x:c r="Q330" s="71" t="str">
        <x:f>IF($A330="","",IF(COUNTIFS('Activity Log'!$C$6:$C$1005,$A330,'Activity Log'!$J$6:$J$1005,"No",'Activity Log'!$I$6:$I$1005,"&gt;0")=0,"",MINIFS('Activity Log'!$I$6:$I$1005,'Activity Log'!$C$6:$C$1005,$A330,'Activity Log'!$J$6:$J$1005,"No",'Activity Log'!$I$6:$I$1005,"&gt;0")))</x:f>
      </x:c>
      <x:c r="R330" s="57" t="str">
        <x:f>IF($C330="","",IF(OR($K330="Won",$K330="Lost",$K330="Disqualified"),"Closed",IF($Q330="","No date",IF(INT($Q330)&lt;TODAY(),"Overdue",IF(INT($Q330)=TODAY(),"Today",IF(INT($Q330)&lt;=TODAY()+7,"Next 7 days","Later"))))))</x:f>
      </x:c>
      <x:c r="S330" s="57" t="str">
        <x:f>IF(OR($C330="",$P330=""),"",TODAY()-INT($P330))</x:f>
      </x:c>
      <x:c r="T330" s="54"/>
      <x:c r="U330" s="54"/>
      <x:c r="V330" s="63"/>
      <x:c r="W330" s="74"/>
      <x:c r="X330" s="77" t="str">
        <x:f>IF($C330="","",IFERROR(VLOOKUP($M330,'Lists &amp; Rules'!$L$5:$N$13,2,FALSE),0))</x:f>
      </x:c>
      <x:c r="Y330" s="80" t="str">
        <x:f>IF(OR($C330="",$W330=""),"",ROUND($W330*$X330,0))</x:f>
      </x:c>
      <x:c r="Z330" s="57" t="str">
        <x:f>IF($A330="","",COUNTIF('Activity Log'!$C$6:$C$1005,$A330))</x:f>
      </x:c>
      <x:c r="AA330" s="68"/>
      <x:c r="AB330" s="63"/>
    </x:row>
    <x:row r="331">
      <x:c r="A331" s="54"/>
      <x:c r="B331" s="68"/>
      <x:c r="C331" s="54"/>
      <x:c r="D331" s="54"/>
      <x:c r="E331" s="54"/>
      <x:c r="F331" s="54"/>
      <x:c r="G331" s="54"/>
      <x:c r="H331" s="54"/>
      <x:c r="I331" s="54"/>
      <x:c r="J331" s="54"/>
      <x:c r="K331" s="54"/>
      <x:c r="L331" s="54"/>
      <x:c r="M331" s="54"/>
      <x:c r="N331" s="54"/>
      <x:c r="O331" s="57" t="str">
        <x:f>IF($C331="","",MAX(0,MIN(100,IFERROR(VLOOKUP($L331,'Lists &amp; Rules'!$P$5:$Q$8,2,FALSE),0)+IFERROR(VLOOKUP($N331,'Lists &amp; Rules'!$S$5:$T$7,2,FALSE),0)+IFERROR(VLOOKUP($M331,'Lists &amp; Rules'!$L$5:$N$13,3,FALSE),0)+IF($R331="Overdue",-10,IF($R331="Today",5,0))+MIN(15,$Z331*3))))</x:f>
      </x:c>
      <x:c r="P331" s="71" t="str">
        <x:f>IF($A331="","",IF(COUNTIF('Activity Log'!$C$6:$C$1005,$A331)=0,"",MAXIFS('Activity Log'!$B$6:$B$1005,'Activity Log'!$C$6:$C$1005,$A331)))</x:f>
      </x:c>
      <x:c r="Q331" s="71" t="str">
        <x:f>IF($A331="","",IF(COUNTIFS('Activity Log'!$C$6:$C$1005,$A331,'Activity Log'!$J$6:$J$1005,"No",'Activity Log'!$I$6:$I$1005,"&gt;0")=0,"",MINIFS('Activity Log'!$I$6:$I$1005,'Activity Log'!$C$6:$C$1005,$A331,'Activity Log'!$J$6:$J$1005,"No",'Activity Log'!$I$6:$I$1005,"&gt;0")))</x:f>
      </x:c>
      <x:c r="R331" s="57" t="str">
        <x:f>IF($C331="","",IF(OR($K331="Won",$K331="Lost",$K331="Disqualified"),"Closed",IF($Q331="","No date",IF(INT($Q331)&lt;TODAY(),"Overdue",IF(INT($Q331)=TODAY(),"Today",IF(INT($Q331)&lt;=TODAY()+7,"Next 7 days","Later"))))))</x:f>
      </x:c>
      <x:c r="S331" s="57" t="str">
        <x:f>IF(OR($C331="",$P331=""),"",TODAY()-INT($P331))</x:f>
      </x:c>
      <x:c r="T331" s="54"/>
      <x:c r="U331" s="54"/>
      <x:c r="V331" s="63"/>
      <x:c r="W331" s="74"/>
      <x:c r="X331" s="77" t="str">
        <x:f>IF($C331="","",IFERROR(VLOOKUP($M331,'Lists &amp; Rules'!$L$5:$N$13,2,FALSE),0))</x:f>
      </x:c>
      <x:c r="Y331" s="80" t="str">
        <x:f>IF(OR($C331="",$W331=""),"",ROUND($W331*$X331,0))</x:f>
      </x:c>
      <x:c r="Z331" s="57" t="str">
        <x:f>IF($A331="","",COUNTIF('Activity Log'!$C$6:$C$1005,$A331))</x:f>
      </x:c>
      <x:c r="AA331" s="68"/>
      <x:c r="AB331" s="63"/>
    </x:row>
    <x:row r="332">
      <x:c r="A332" s="54"/>
      <x:c r="B332" s="68"/>
      <x:c r="C332" s="54"/>
      <x:c r="D332" s="54"/>
      <x:c r="E332" s="54"/>
      <x:c r="F332" s="54"/>
      <x:c r="G332" s="54"/>
      <x:c r="H332" s="54"/>
      <x:c r="I332" s="54"/>
      <x:c r="J332" s="54"/>
      <x:c r="K332" s="54"/>
      <x:c r="L332" s="54"/>
      <x:c r="M332" s="54"/>
      <x:c r="N332" s="54"/>
      <x:c r="O332" s="57" t="str">
        <x:f>IF($C332="","",MAX(0,MIN(100,IFERROR(VLOOKUP($L332,'Lists &amp; Rules'!$P$5:$Q$8,2,FALSE),0)+IFERROR(VLOOKUP($N332,'Lists &amp; Rules'!$S$5:$T$7,2,FALSE),0)+IFERROR(VLOOKUP($M332,'Lists &amp; Rules'!$L$5:$N$13,3,FALSE),0)+IF($R332="Overdue",-10,IF($R332="Today",5,0))+MIN(15,$Z332*3))))</x:f>
      </x:c>
      <x:c r="P332" s="71" t="str">
        <x:f>IF($A332="","",IF(COUNTIF('Activity Log'!$C$6:$C$1005,$A332)=0,"",MAXIFS('Activity Log'!$B$6:$B$1005,'Activity Log'!$C$6:$C$1005,$A332)))</x:f>
      </x:c>
      <x:c r="Q332" s="71" t="str">
        <x:f>IF($A332="","",IF(COUNTIFS('Activity Log'!$C$6:$C$1005,$A332,'Activity Log'!$J$6:$J$1005,"No",'Activity Log'!$I$6:$I$1005,"&gt;0")=0,"",MINIFS('Activity Log'!$I$6:$I$1005,'Activity Log'!$C$6:$C$1005,$A332,'Activity Log'!$J$6:$J$1005,"No",'Activity Log'!$I$6:$I$1005,"&gt;0")))</x:f>
      </x:c>
      <x:c r="R332" s="57" t="str">
        <x:f>IF($C332="","",IF(OR($K332="Won",$K332="Lost",$K332="Disqualified"),"Closed",IF($Q332="","No date",IF(INT($Q332)&lt;TODAY(),"Overdue",IF(INT($Q332)=TODAY(),"Today",IF(INT($Q332)&lt;=TODAY()+7,"Next 7 days","Later"))))))</x:f>
      </x:c>
      <x:c r="S332" s="57" t="str">
        <x:f>IF(OR($C332="",$P332=""),"",TODAY()-INT($P332))</x:f>
      </x:c>
      <x:c r="T332" s="54"/>
      <x:c r="U332" s="54"/>
      <x:c r="V332" s="63"/>
      <x:c r="W332" s="74"/>
      <x:c r="X332" s="77" t="str">
        <x:f>IF($C332="","",IFERROR(VLOOKUP($M332,'Lists &amp; Rules'!$L$5:$N$13,2,FALSE),0))</x:f>
      </x:c>
      <x:c r="Y332" s="80" t="str">
        <x:f>IF(OR($C332="",$W332=""),"",ROUND($W332*$X332,0))</x:f>
      </x:c>
      <x:c r="Z332" s="57" t="str">
        <x:f>IF($A332="","",COUNTIF('Activity Log'!$C$6:$C$1005,$A332))</x:f>
      </x:c>
      <x:c r="AA332" s="68"/>
      <x:c r="AB332" s="63"/>
    </x:row>
    <x:row r="333">
      <x:c r="A333" s="54"/>
      <x:c r="B333" s="68"/>
      <x:c r="C333" s="54"/>
      <x:c r="D333" s="54"/>
      <x:c r="E333" s="54"/>
      <x:c r="F333" s="54"/>
      <x:c r="G333" s="54"/>
      <x:c r="H333" s="54"/>
      <x:c r="I333" s="54"/>
      <x:c r="J333" s="54"/>
      <x:c r="K333" s="54"/>
      <x:c r="L333" s="54"/>
      <x:c r="M333" s="54"/>
      <x:c r="N333" s="54"/>
      <x:c r="O333" s="57" t="str">
        <x:f>IF($C333="","",MAX(0,MIN(100,IFERROR(VLOOKUP($L333,'Lists &amp; Rules'!$P$5:$Q$8,2,FALSE),0)+IFERROR(VLOOKUP($N333,'Lists &amp; Rules'!$S$5:$T$7,2,FALSE),0)+IFERROR(VLOOKUP($M333,'Lists &amp; Rules'!$L$5:$N$13,3,FALSE),0)+IF($R333="Overdue",-10,IF($R333="Today",5,0))+MIN(15,$Z333*3))))</x:f>
      </x:c>
      <x:c r="P333" s="71" t="str">
        <x:f>IF($A333="","",IF(COUNTIF('Activity Log'!$C$6:$C$1005,$A333)=0,"",MAXIFS('Activity Log'!$B$6:$B$1005,'Activity Log'!$C$6:$C$1005,$A333)))</x:f>
      </x:c>
      <x:c r="Q333" s="71" t="str">
        <x:f>IF($A333="","",IF(COUNTIFS('Activity Log'!$C$6:$C$1005,$A333,'Activity Log'!$J$6:$J$1005,"No",'Activity Log'!$I$6:$I$1005,"&gt;0")=0,"",MINIFS('Activity Log'!$I$6:$I$1005,'Activity Log'!$C$6:$C$1005,$A333,'Activity Log'!$J$6:$J$1005,"No",'Activity Log'!$I$6:$I$1005,"&gt;0")))</x:f>
      </x:c>
      <x:c r="R333" s="57" t="str">
        <x:f>IF($C333="","",IF(OR($K333="Won",$K333="Lost",$K333="Disqualified"),"Closed",IF($Q333="","No date",IF(INT($Q333)&lt;TODAY(),"Overdue",IF(INT($Q333)=TODAY(),"Today",IF(INT($Q333)&lt;=TODAY()+7,"Next 7 days","Later"))))))</x:f>
      </x:c>
      <x:c r="S333" s="57" t="str">
        <x:f>IF(OR($C333="",$P333=""),"",TODAY()-INT($P333))</x:f>
      </x:c>
      <x:c r="T333" s="54"/>
      <x:c r="U333" s="54"/>
      <x:c r="V333" s="63"/>
      <x:c r="W333" s="74"/>
      <x:c r="X333" s="77" t="str">
        <x:f>IF($C333="","",IFERROR(VLOOKUP($M333,'Lists &amp; Rules'!$L$5:$N$13,2,FALSE),0))</x:f>
      </x:c>
      <x:c r="Y333" s="80" t="str">
        <x:f>IF(OR($C333="",$W333=""),"",ROUND($W333*$X333,0))</x:f>
      </x:c>
      <x:c r="Z333" s="57" t="str">
        <x:f>IF($A333="","",COUNTIF('Activity Log'!$C$6:$C$1005,$A333))</x:f>
      </x:c>
      <x:c r="AA333" s="68"/>
      <x:c r="AB333" s="63"/>
    </x:row>
    <x:row r="334">
      <x:c r="A334" s="54"/>
      <x:c r="B334" s="68"/>
      <x:c r="C334" s="54"/>
      <x:c r="D334" s="54"/>
      <x:c r="E334" s="54"/>
      <x:c r="F334" s="54"/>
      <x:c r="G334" s="54"/>
      <x:c r="H334" s="54"/>
      <x:c r="I334" s="54"/>
      <x:c r="J334" s="54"/>
      <x:c r="K334" s="54"/>
      <x:c r="L334" s="54"/>
      <x:c r="M334" s="54"/>
      <x:c r="N334" s="54"/>
      <x:c r="O334" s="57" t="str">
        <x:f>IF($C334="","",MAX(0,MIN(100,IFERROR(VLOOKUP($L334,'Lists &amp; Rules'!$P$5:$Q$8,2,FALSE),0)+IFERROR(VLOOKUP($N334,'Lists &amp; Rules'!$S$5:$T$7,2,FALSE),0)+IFERROR(VLOOKUP($M334,'Lists &amp; Rules'!$L$5:$N$13,3,FALSE),0)+IF($R334="Overdue",-10,IF($R334="Today",5,0))+MIN(15,$Z334*3))))</x:f>
      </x:c>
      <x:c r="P334" s="71" t="str">
        <x:f>IF($A334="","",IF(COUNTIF('Activity Log'!$C$6:$C$1005,$A334)=0,"",MAXIFS('Activity Log'!$B$6:$B$1005,'Activity Log'!$C$6:$C$1005,$A334)))</x:f>
      </x:c>
      <x:c r="Q334" s="71" t="str">
        <x:f>IF($A334="","",IF(COUNTIFS('Activity Log'!$C$6:$C$1005,$A334,'Activity Log'!$J$6:$J$1005,"No",'Activity Log'!$I$6:$I$1005,"&gt;0")=0,"",MINIFS('Activity Log'!$I$6:$I$1005,'Activity Log'!$C$6:$C$1005,$A334,'Activity Log'!$J$6:$J$1005,"No",'Activity Log'!$I$6:$I$1005,"&gt;0")))</x:f>
      </x:c>
      <x:c r="R334" s="57" t="str">
        <x:f>IF($C334="","",IF(OR($K334="Won",$K334="Lost",$K334="Disqualified"),"Closed",IF($Q334="","No date",IF(INT($Q334)&lt;TODAY(),"Overdue",IF(INT($Q334)=TODAY(),"Today",IF(INT($Q334)&lt;=TODAY()+7,"Next 7 days","Later"))))))</x:f>
      </x:c>
      <x:c r="S334" s="57" t="str">
        <x:f>IF(OR($C334="",$P334=""),"",TODAY()-INT($P334))</x:f>
      </x:c>
      <x:c r="T334" s="54"/>
      <x:c r="U334" s="54"/>
      <x:c r="V334" s="63"/>
      <x:c r="W334" s="74"/>
      <x:c r="X334" s="77" t="str">
        <x:f>IF($C334="","",IFERROR(VLOOKUP($M334,'Lists &amp; Rules'!$L$5:$N$13,2,FALSE),0))</x:f>
      </x:c>
      <x:c r="Y334" s="80" t="str">
        <x:f>IF(OR($C334="",$W334=""),"",ROUND($W334*$X334,0))</x:f>
      </x:c>
      <x:c r="Z334" s="57" t="str">
        <x:f>IF($A334="","",COUNTIF('Activity Log'!$C$6:$C$1005,$A334))</x:f>
      </x:c>
      <x:c r="AA334" s="68"/>
      <x:c r="AB334" s="63"/>
    </x:row>
    <x:row r="335">
      <x:c r="A335" s="54"/>
      <x:c r="B335" s="68"/>
      <x:c r="C335" s="54"/>
      <x:c r="D335" s="54"/>
      <x:c r="E335" s="54"/>
      <x:c r="F335" s="54"/>
      <x:c r="G335" s="54"/>
      <x:c r="H335" s="54"/>
      <x:c r="I335" s="54"/>
      <x:c r="J335" s="54"/>
      <x:c r="K335" s="54"/>
      <x:c r="L335" s="54"/>
      <x:c r="M335" s="54"/>
      <x:c r="N335" s="54"/>
      <x:c r="O335" s="57" t="str">
        <x:f>IF($C335="","",MAX(0,MIN(100,IFERROR(VLOOKUP($L335,'Lists &amp; Rules'!$P$5:$Q$8,2,FALSE),0)+IFERROR(VLOOKUP($N335,'Lists &amp; Rules'!$S$5:$T$7,2,FALSE),0)+IFERROR(VLOOKUP($M335,'Lists &amp; Rules'!$L$5:$N$13,3,FALSE),0)+IF($R335="Overdue",-10,IF($R335="Today",5,0))+MIN(15,$Z335*3))))</x:f>
      </x:c>
      <x:c r="P335" s="71" t="str">
        <x:f>IF($A335="","",IF(COUNTIF('Activity Log'!$C$6:$C$1005,$A335)=0,"",MAXIFS('Activity Log'!$B$6:$B$1005,'Activity Log'!$C$6:$C$1005,$A335)))</x:f>
      </x:c>
      <x:c r="Q335" s="71" t="str">
        <x:f>IF($A335="","",IF(COUNTIFS('Activity Log'!$C$6:$C$1005,$A335,'Activity Log'!$J$6:$J$1005,"No",'Activity Log'!$I$6:$I$1005,"&gt;0")=0,"",MINIFS('Activity Log'!$I$6:$I$1005,'Activity Log'!$C$6:$C$1005,$A335,'Activity Log'!$J$6:$J$1005,"No",'Activity Log'!$I$6:$I$1005,"&gt;0")))</x:f>
      </x:c>
      <x:c r="R335" s="57" t="str">
        <x:f>IF($C335="","",IF(OR($K335="Won",$K335="Lost",$K335="Disqualified"),"Closed",IF($Q335="","No date",IF(INT($Q335)&lt;TODAY(),"Overdue",IF(INT($Q335)=TODAY(),"Today",IF(INT($Q335)&lt;=TODAY()+7,"Next 7 days","Later"))))))</x:f>
      </x:c>
      <x:c r="S335" s="57" t="str">
        <x:f>IF(OR($C335="",$P335=""),"",TODAY()-INT($P335))</x:f>
      </x:c>
      <x:c r="T335" s="54"/>
      <x:c r="U335" s="54"/>
      <x:c r="V335" s="63"/>
      <x:c r="W335" s="74"/>
      <x:c r="X335" s="77" t="str">
        <x:f>IF($C335="","",IFERROR(VLOOKUP($M335,'Lists &amp; Rules'!$L$5:$N$13,2,FALSE),0))</x:f>
      </x:c>
      <x:c r="Y335" s="80" t="str">
        <x:f>IF(OR($C335="",$W335=""),"",ROUND($W335*$X335,0))</x:f>
      </x:c>
      <x:c r="Z335" s="57" t="str">
        <x:f>IF($A335="","",COUNTIF('Activity Log'!$C$6:$C$1005,$A335))</x:f>
      </x:c>
      <x:c r="AA335" s="68"/>
      <x:c r="AB335" s="63"/>
    </x:row>
    <x:row r="336">
      <x:c r="A336" s="54"/>
      <x:c r="B336" s="68"/>
      <x:c r="C336" s="54"/>
      <x:c r="D336" s="54"/>
      <x:c r="E336" s="54"/>
      <x:c r="F336" s="54"/>
      <x:c r="G336" s="54"/>
      <x:c r="H336" s="54"/>
      <x:c r="I336" s="54"/>
      <x:c r="J336" s="54"/>
      <x:c r="K336" s="54"/>
      <x:c r="L336" s="54"/>
      <x:c r="M336" s="54"/>
      <x:c r="N336" s="54"/>
      <x:c r="O336" s="57" t="str">
        <x:f>IF($C336="","",MAX(0,MIN(100,IFERROR(VLOOKUP($L336,'Lists &amp; Rules'!$P$5:$Q$8,2,FALSE),0)+IFERROR(VLOOKUP($N336,'Lists &amp; Rules'!$S$5:$T$7,2,FALSE),0)+IFERROR(VLOOKUP($M336,'Lists &amp; Rules'!$L$5:$N$13,3,FALSE),0)+IF($R336="Overdue",-10,IF($R336="Today",5,0))+MIN(15,$Z336*3))))</x:f>
      </x:c>
      <x:c r="P336" s="71" t="str">
        <x:f>IF($A336="","",IF(COUNTIF('Activity Log'!$C$6:$C$1005,$A336)=0,"",MAXIFS('Activity Log'!$B$6:$B$1005,'Activity Log'!$C$6:$C$1005,$A336)))</x:f>
      </x:c>
      <x:c r="Q336" s="71" t="str">
        <x:f>IF($A336="","",IF(COUNTIFS('Activity Log'!$C$6:$C$1005,$A336,'Activity Log'!$J$6:$J$1005,"No",'Activity Log'!$I$6:$I$1005,"&gt;0")=0,"",MINIFS('Activity Log'!$I$6:$I$1005,'Activity Log'!$C$6:$C$1005,$A336,'Activity Log'!$J$6:$J$1005,"No",'Activity Log'!$I$6:$I$1005,"&gt;0")))</x:f>
      </x:c>
      <x:c r="R336" s="57" t="str">
        <x:f>IF($C336="","",IF(OR($K336="Won",$K336="Lost",$K336="Disqualified"),"Closed",IF($Q336="","No date",IF(INT($Q336)&lt;TODAY(),"Overdue",IF(INT($Q336)=TODAY(),"Today",IF(INT($Q336)&lt;=TODAY()+7,"Next 7 days","Later"))))))</x:f>
      </x:c>
      <x:c r="S336" s="57" t="str">
        <x:f>IF(OR($C336="",$P336=""),"",TODAY()-INT($P336))</x:f>
      </x:c>
      <x:c r="T336" s="54"/>
      <x:c r="U336" s="54"/>
      <x:c r="V336" s="63"/>
      <x:c r="W336" s="74"/>
      <x:c r="X336" s="77" t="str">
        <x:f>IF($C336="","",IFERROR(VLOOKUP($M336,'Lists &amp; Rules'!$L$5:$N$13,2,FALSE),0))</x:f>
      </x:c>
      <x:c r="Y336" s="80" t="str">
        <x:f>IF(OR($C336="",$W336=""),"",ROUND($W336*$X336,0))</x:f>
      </x:c>
      <x:c r="Z336" s="57" t="str">
        <x:f>IF($A336="","",COUNTIF('Activity Log'!$C$6:$C$1005,$A336))</x:f>
      </x:c>
      <x:c r="AA336" s="68"/>
      <x:c r="AB336" s="63"/>
    </x:row>
    <x:row r="337">
      <x:c r="A337" s="54"/>
      <x:c r="B337" s="68"/>
      <x:c r="C337" s="54"/>
      <x:c r="D337" s="54"/>
      <x:c r="E337" s="54"/>
      <x:c r="F337" s="54"/>
      <x:c r="G337" s="54"/>
      <x:c r="H337" s="54"/>
      <x:c r="I337" s="54"/>
      <x:c r="J337" s="54"/>
      <x:c r="K337" s="54"/>
      <x:c r="L337" s="54"/>
      <x:c r="M337" s="54"/>
      <x:c r="N337" s="54"/>
      <x:c r="O337" s="57" t="str">
        <x:f>IF($C337="","",MAX(0,MIN(100,IFERROR(VLOOKUP($L337,'Lists &amp; Rules'!$P$5:$Q$8,2,FALSE),0)+IFERROR(VLOOKUP($N337,'Lists &amp; Rules'!$S$5:$T$7,2,FALSE),0)+IFERROR(VLOOKUP($M337,'Lists &amp; Rules'!$L$5:$N$13,3,FALSE),0)+IF($R337="Overdue",-10,IF($R337="Today",5,0))+MIN(15,$Z337*3))))</x:f>
      </x:c>
      <x:c r="P337" s="71" t="str">
        <x:f>IF($A337="","",IF(COUNTIF('Activity Log'!$C$6:$C$1005,$A337)=0,"",MAXIFS('Activity Log'!$B$6:$B$1005,'Activity Log'!$C$6:$C$1005,$A337)))</x:f>
      </x:c>
      <x:c r="Q337" s="71" t="str">
        <x:f>IF($A337="","",IF(COUNTIFS('Activity Log'!$C$6:$C$1005,$A337,'Activity Log'!$J$6:$J$1005,"No",'Activity Log'!$I$6:$I$1005,"&gt;0")=0,"",MINIFS('Activity Log'!$I$6:$I$1005,'Activity Log'!$C$6:$C$1005,$A337,'Activity Log'!$J$6:$J$1005,"No",'Activity Log'!$I$6:$I$1005,"&gt;0")))</x:f>
      </x:c>
      <x:c r="R337" s="57" t="str">
        <x:f>IF($C337="","",IF(OR($K337="Won",$K337="Lost",$K337="Disqualified"),"Closed",IF($Q337="","No date",IF(INT($Q337)&lt;TODAY(),"Overdue",IF(INT($Q337)=TODAY(),"Today",IF(INT($Q337)&lt;=TODAY()+7,"Next 7 days","Later"))))))</x:f>
      </x:c>
      <x:c r="S337" s="57" t="str">
        <x:f>IF(OR($C337="",$P337=""),"",TODAY()-INT($P337))</x:f>
      </x:c>
      <x:c r="T337" s="54"/>
      <x:c r="U337" s="54"/>
      <x:c r="V337" s="63"/>
      <x:c r="W337" s="74"/>
      <x:c r="X337" s="77" t="str">
        <x:f>IF($C337="","",IFERROR(VLOOKUP($M337,'Lists &amp; Rules'!$L$5:$N$13,2,FALSE),0))</x:f>
      </x:c>
      <x:c r="Y337" s="80" t="str">
        <x:f>IF(OR($C337="",$W337=""),"",ROUND($W337*$X337,0))</x:f>
      </x:c>
      <x:c r="Z337" s="57" t="str">
        <x:f>IF($A337="","",COUNTIF('Activity Log'!$C$6:$C$1005,$A337))</x:f>
      </x:c>
      <x:c r="AA337" s="68"/>
      <x:c r="AB337" s="63"/>
    </x:row>
    <x:row r="338">
      <x:c r="A338" s="54"/>
      <x:c r="B338" s="68"/>
      <x:c r="C338" s="54"/>
      <x:c r="D338" s="54"/>
      <x:c r="E338" s="54"/>
      <x:c r="F338" s="54"/>
      <x:c r="G338" s="54"/>
      <x:c r="H338" s="54"/>
      <x:c r="I338" s="54"/>
      <x:c r="J338" s="54"/>
      <x:c r="K338" s="54"/>
      <x:c r="L338" s="54"/>
      <x:c r="M338" s="54"/>
      <x:c r="N338" s="54"/>
      <x:c r="O338" s="57" t="str">
        <x:f>IF($C338="","",MAX(0,MIN(100,IFERROR(VLOOKUP($L338,'Lists &amp; Rules'!$P$5:$Q$8,2,FALSE),0)+IFERROR(VLOOKUP($N338,'Lists &amp; Rules'!$S$5:$T$7,2,FALSE),0)+IFERROR(VLOOKUP($M338,'Lists &amp; Rules'!$L$5:$N$13,3,FALSE),0)+IF($R338="Overdue",-10,IF($R338="Today",5,0))+MIN(15,$Z338*3))))</x:f>
      </x:c>
      <x:c r="P338" s="71" t="str">
        <x:f>IF($A338="","",IF(COUNTIF('Activity Log'!$C$6:$C$1005,$A338)=0,"",MAXIFS('Activity Log'!$B$6:$B$1005,'Activity Log'!$C$6:$C$1005,$A338)))</x:f>
      </x:c>
      <x:c r="Q338" s="71" t="str">
        <x:f>IF($A338="","",IF(COUNTIFS('Activity Log'!$C$6:$C$1005,$A338,'Activity Log'!$J$6:$J$1005,"No",'Activity Log'!$I$6:$I$1005,"&gt;0")=0,"",MINIFS('Activity Log'!$I$6:$I$1005,'Activity Log'!$C$6:$C$1005,$A338,'Activity Log'!$J$6:$J$1005,"No",'Activity Log'!$I$6:$I$1005,"&gt;0")))</x:f>
      </x:c>
      <x:c r="R338" s="57" t="str">
        <x:f>IF($C338="","",IF(OR($K338="Won",$K338="Lost",$K338="Disqualified"),"Closed",IF($Q338="","No date",IF(INT($Q338)&lt;TODAY(),"Overdue",IF(INT($Q338)=TODAY(),"Today",IF(INT($Q338)&lt;=TODAY()+7,"Next 7 days","Later"))))))</x:f>
      </x:c>
      <x:c r="S338" s="57" t="str">
        <x:f>IF(OR($C338="",$P338=""),"",TODAY()-INT($P338))</x:f>
      </x:c>
      <x:c r="T338" s="54"/>
      <x:c r="U338" s="54"/>
      <x:c r="V338" s="63"/>
      <x:c r="W338" s="74"/>
      <x:c r="X338" s="77" t="str">
        <x:f>IF($C338="","",IFERROR(VLOOKUP($M338,'Lists &amp; Rules'!$L$5:$N$13,2,FALSE),0))</x:f>
      </x:c>
      <x:c r="Y338" s="80" t="str">
        <x:f>IF(OR($C338="",$W338=""),"",ROUND($W338*$X338,0))</x:f>
      </x:c>
      <x:c r="Z338" s="57" t="str">
        <x:f>IF($A338="","",COUNTIF('Activity Log'!$C$6:$C$1005,$A338))</x:f>
      </x:c>
      <x:c r="AA338" s="68"/>
      <x:c r="AB338" s="63"/>
    </x:row>
    <x:row r="339">
      <x:c r="A339" s="54"/>
      <x:c r="B339" s="68"/>
      <x:c r="C339" s="54"/>
      <x:c r="D339" s="54"/>
      <x:c r="E339" s="54"/>
      <x:c r="F339" s="54"/>
      <x:c r="G339" s="54"/>
      <x:c r="H339" s="54"/>
      <x:c r="I339" s="54"/>
      <x:c r="J339" s="54"/>
      <x:c r="K339" s="54"/>
      <x:c r="L339" s="54"/>
      <x:c r="M339" s="54"/>
      <x:c r="N339" s="54"/>
      <x:c r="O339" s="57" t="str">
        <x:f>IF($C339="","",MAX(0,MIN(100,IFERROR(VLOOKUP($L339,'Lists &amp; Rules'!$P$5:$Q$8,2,FALSE),0)+IFERROR(VLOOKUP($N339,'Lists &amp; Rules'!$S$5:$T$7,2,FALSE),0)+IFERROR(VLOOKUP($M339,'Lists &amp; Rules'!$L$5:$N$13,3,FALSE),0)+IF($R339="Overdue",-10,IF($R339="Today",5,0))+MIN(15,$Z339*3))))</x:f>
      </x:c>
      <x:c r="P339" s="71" t="str">
        <x:f>IF($A339="","",IF(COUNTIF('Activity Log'!$C$6:$C$1005,$A339)=0,"",MAXIFS('Activity Log'!$B$6:$B$1005,'Activity Log'!$C$6:$C$1005,$A339)))</x:f>
      </x:c>
      <x:c r="Q339" s="71" t="str">
        <x:f>IF($A339="","",IF(COUNTIFS('Activity Log'!$C$6:$C$1005,$A339,'Activity Log'!$J$6:$J$1005,"No",'Activity Log'!$I$6:$I$1005,"&gt;0")=0,"",MINIFS('Activity Log'!$I$6:$I$1005,'Activity Log'!$C$6:$C$1005,$A339,'Activity Log'!$J$6:$J$1005,"No",'Activity Log'!$I$6:$I$1005,"&gt;0")))</x:f>
      </x:c>
      <x:c r="R339" s="57" t="str">
        <x:f>IF($C339="","",IF(OR($K339="Won",$K339="Lost",$K339="Disqualified"),"Closed",IF($Q339="","No date",IF(INT($Q339)&lt;TODAY(),"Overdue",IF(INT($Q339)=TODAY(),"Today",IF(INT($Q339)&lt;=TODAY()+7,"Next 7 days","Later"))))))</x:f>
      </x:c>
      <x:c r="S339" s="57" t="str">
        <x:f>IF(OR($C339="",$P339=""),"",TODAY()-INT($P339))</x:f>
      </x:c>
      <x:c r="T339" s="54"/>
      <x:c r="U339" s="54"/>
      <x:c r="V339" s="63"/>
      <x:c r="W339" s="74"/>
      <x:c r="X339" s="77" t="str">
        <x:f>IF($C339="","",IFERROR(VLOOKUP($M339,'Lists &amp; Rules'!$L$5:$N$13,2,FALSE),0))</x:f>
      </x:c>
      <x:c r="Y339" s="80" t="str">
        <x:f>IF(OR($C339="",$W339=""),"",ROUND($W339*$X339,0))</x:f>
      </x:c>
      <x:c r="Z339" s="57" t="str">
        <x:f>IF($A339="","",COUNTIF('Activity Log'!$C$6:$C$1005,$A339))</x:f>
      </x:c>
      <x:c r="AA339" s="68"/>
      <x:c r="AB339" s="63"/>
    </x:row>
    <x:row r="340">
      <x:c r="A340" s="54"/>
      <x:c r="B340" s="68"/>
      <x:c r="C340" s="54"/>
      <x:c r="D340" s="54"/>
      <x:c r="E340" s="54"/>
      <x:c r="F340" s="54"/>
      <x:c r="G340" s="54"/>
      <x:c r="H340" s="54"/>
      <x:c r="I340" s="54"/>
      <x:c r="J340" s="54"/>
      <x:c r="K340" s="54"/>
      <x:c r="L340" s="54"/>
      <x:c r="M340" s="54"/>
      <x:c r="N340" s="54"/>
      <x:c r="O340" s="57" t="str">
        <x:f>IF($C340="","",MAX(0,MIN(100,IFERROR(VLOOKUP($L340,'Lists &amp; Rules'!$P$5:$Q$8,2,FALSE),0)+IFERROR(VLOOKUP($N340,'Lists &amp; Rules'!$S$5:$T$7,2,FALSE),0)+IFERROR(VLOOKUP($M340,'Lists &amp; Rules'!$L$5:$N$13,3,FALSE),0)+IF($R340="Overdue",-10,IF($R340="Today",5,0))+MIN(15,$Z340*3))))</x:f>
      </x:c>
      <x:c r="P340" s="71" t="str">
        <x:f>IF($A340="","",IF(COUNTIF('Activity Log'!$C$6:$C$1005,$A340)=0,"",MAXIFS('Activity Log'!$B$6:$B$1005,'Activity Log'!$C$6:$C$1005,$A340)))</x:f>
      </x:c>
      <x:c r="Q340" s="71" t="str">
        <x:f>IF($A340="","",IF(COUNTIFS('Activity Log'!$C$6:$C$1005,$A340,'Activity Log'!$J$6:$J$1005,"No",'Activity Log'!$I$6:$I$1005,"&gt;0")=0,"",MINIFS('Activity Log'!$I$6:$I$1005,'Activity Log'!$C$6:$C$1005,$A340,'Activity Log'!$J$6:$J$1005,"No",'Activity Log'!$I$6:$I$1005,"&gt;0")))</x:f>
      </x:c>
      <x:c r="R340" s="57" t="str">
        <x:f>IF($C340="","",IF(OR($K340="Won",$K340="Lost",$K340="Disqualified"),"Closed",IF($Q340="","No date",IF(INT($Q340)&lt;TODAY(),"Overdue",IF(INT($Q340)=TODAY(),"Today",IF(INT($Q340)&lt;=TODAY()+7,"Next 7 days","Later"))))))</x:f>
      </x:c>
      <x:c r="S340" s="57" t="str">
        <x:f>IF(OR($C340="",$P340=""),"",TODAY()-INT($P340))</x:f>
      </x:c>
      <x:c r="T340" s="54"/>
      <x:c r="U340" s="54"/>
      <x:c r="V340" s="63"/>
      <x:c r="W340" s="74"/>
      <x:c r="X340" s="77" t="str">
        <x:f>IF($C340="","",IFERROR(VLOOKUP($M340,'Lists &amp; Rules'!$L$5:$N$13,2,FALSE),0))</x:f>
      </x:c>
      <x:c r="Y340" s="80" t="str">
        <x:f>IF(OR($C340="",$W340=""),"",ROUND($W340*$X340,0))</x:f>
      </x:c>
      <x:c r="Z340" s="57" t="str">
        <x:f>IF($A340="","",COUNTIF('Activity Log'!$C$6:$C$1005,$A340))</x:f>
      </x:c>
      <x:c r="AA340" s="68"/>
      <x:c r="AB340" s="63"/>
    </x:row>
    <x:row r="341">
      <x:c r="A341" s="54"/>
      <x:c r="B341" s="68"/>
      <x:c r="C341" s="54"/>
      <x:c r="D341" s="54"/>
      <x:c r="E341" s="54"/>
      <x:c r="F341" s="54"/>
      <x:c r="G341" s="54"/>
      <x:c r="H341" s="54"/>
      <x:c r="I341" s="54"/>
      <x:c r="J341" s="54"/>
      <x:c r="K341" s="54"/>
      <x:c r="L341" s="54"/>
      <x:c r="M341" s="54"/>
      <x:c r="N341" s="54"/>
      <x:c r="O341" s="57" t="str">
        <x:f>IF($C341="","",MAX(0,MIN(100,IFERROR(VLOOKUP($L341,'Lists &amp; Rules'!$P$5:$Q$8,2,FALSE),0)+IFERROR(VLOOKUP($N341,'Lists &amp; Rules'!$S$5:$T$7,2,FALSE),0)+IFERROR(VLOOKUP($M341,'Lists &amp; Rules'!$L$5:$N$13,3,FALSE),0)+IF($R341="Overdue",-10,IF($R341="Today",5,0))+MIN(15,$Z341*3))))</x:f>
      </x:c>
      <x:c r="P341" s="71" t="str">
        <x:f>IF($A341="","",IF(COUNTIF('Activity Log'!$C$6:$C$1005,$A341)=0,"",MAXIFS('Activity Log'!$B$6:$B$1005,'Activity Log'!$C$6:$C$1005,$A341)))</x:f>
      </x:c>
      <x:c r="Q341" s="71" t="str">
        <x:f>IF($A341="","",IF(COUNTIFS('Activity Log'!$C$6:$C$1005,$A341,'Activity Log'!$J$6:$J$1005,"No",'Activity Log'!$I$6:$I$1005,"&gt;0")=0,"",MINIFS('Activity Log'!$I$6:$I$1005,'Activity Log'!$C$6:$C$1005,$A341,'Activity Log'!$J$6:$J$1005,"No",'Activity Log'!$I$6:$I$1005,"&gt;0")))</x:f>
      </x:c>
      <x:c r="R341" s="57" t="str">
        <x:f>IF($C341="","",IF(OR($K341="Won",$K341="Lost",$K341="Disqualified"),"Closed",IF($Q341="","No date",IF(INT($Q341)&lt;TODAY(),"Overdue",IF(INT($Q341)=TODAY(),"Today",IF(INT($Q341)&lt;=TODAY()+7,"Next 7 days","Later"))))))</x:f>
      </x:c>
      <x:c r="S341" s="57" t="str">
        <x:f>IF(OR($C341="",$P341=""),"",TODAY()-INT($P341))</x:f>
      </x:c>
      <x:c r="T341" s="54"/>
      <x:c r="U341" s="54"/>
      <x:c r="V341" s="63"/>
      <x:c r="W341" s="74"/>
      <x:c r="X341" s="77" t="str">
        <x:f>IF($C341="","",IFERROR(VLOOKUP($M341,'Lists &amp; Rules'!$L$5:$N$13,2,FALSE),0))</x:f>
      </x:c>
      <x:c r="Y341" s="80" t="str">
        <x:f>IF(OR($C341="",$W341=""),"",ROUND($W341*$X341,0))</x:f>
      </x:c>
      <x:c r="Z341" s="57" t="str">
        <x:f>IF($A341="","",COUNTIF('Activity Log'!$C$6:$C$1005,$A341))</x:f>
      </x:c>
      <x:c r="AA341" s="68"/>
      <x:c r="AB341" s="63"/>
    </x:row>
    <x:row r="342">
      <x:c r="A342" s="54"/>
      <x:c r="B342" s="68"/>
      <x:c r="C342" s="54"/>
      <x:c r="D342" s="54"/>
      <x:c r="E342" s="54"/>
      <x:c r="F342" s="54"/>
      <x:c r="G342" s="54"/>
      <x:c r="H342" s="54"/>
      <x:c r="I342" s="54"/>
      <x:c r="J342" s="54"/>
      <x:c r="K342" s="54"/>
      <x:c r="L342" s="54"/>
      <x:c r="M342" s="54"/>
      <x:c r="N342" s="54"/>
      <x:c r="O342" s="57" t="str">
        <x:f>IF($C342="","",MAX(0,MIN(100,IFERROR(VLOOKUP($L342,'Lists &amp; Rules'!$P$5:$Q$8,2,FALSE),0)+IFERROR(VLOOKUP($N342,'Lists &amp; Rules'!$S$5:$T$7,2,FALSE),0)+IFERROR(VLOOKUP($M342,'Lists &amp; Rules'!$L$5:$N$13,3,FALSE),0)+IF($R342="Overdue",-10,IF($R342="Today",5,0))+MIN(15,$Z342*3))))</x:f>
      </x:c>
      <x:c r="P342" s="71" t="str">
        <x:f>IF($A342="","",IF(COUNTIF('Activity Log'!$C$6:$C$1005,$A342)=0,"",MAXIFS('Activity Log'!$B$6:$B$1005,'Activity Log'!$C$6:$C$1005,$A342)))</x:f>
      </x:c>
      <x:c r="Q342" s="71" t="str">
        <x:f>IF($A342="","",IF(COUNTIFS('Activity Log'!$C$6:$C$1005,$A342,'Activity Log'!$J$6:$J$1005,"No",'Activity Log'!$I$6:$I$1005,"&gt;0")=0,"",MINIFS('Activity Log'!$I$6:$I$1005,'Activity Log'!$C$6:$C$1005,$A342,'Activity Log'!$J$6:$J$1005,"No",'Activity Log'!$I$6:$I$1005,"&gt;0")))</x:f>
      </x:c>
      <x:c r="R342" s="57" t="str">
        <x:f>IF($C342="","",IF(OR($K342="Won",$K342="Lost",$K342="Disqualified"),"Closed",IF($Q342="","No date",IF(INT($Q342)&lt;TODAY(),"Overdue",IF(INT($Q342)=TODAY(),"Today",IF(INT($Q342)&lt;=TODAY()+7,"Next 7 days","Later"))))))</x:f>
      </x:c>
      <x:c r="S342" s="57" t="str">
        <x:f>IF(OR($C342="",$P342=""),"",TODAY()-INT($P342))</x:f>
      </x:c>
      <x:c r="T342" s="54"/>
      <x:c r="U342" s="54"/>
      <x:c r="V342" s="63"/>
      <x:c r="W342" s="74"/>
      <x:c r="X342" s="77" t="str">
        <x:f>IF($C342="","",IFERROR(VLOOKUP($M342,'Lists &amp; Rules'!$L$5:$N$13,2,FALSE),0))</x:f>
      </x:c>
      <x:c r="Y342" s="80" t="str">
        <x:f>IF(OR($C342="",$W342=""),"",ROUND($W342*$X342,0))</x:f>
      </x:c>
      <x:c r="Z342" s="57" t="str">
        <x:f>IF($A342="","",COUNTIF('Activity Log'!$C$6:$C$1005,$A342))</x:f>
      </x:c>
      <x:c r="AA342" s="68"/>
      <x:c r="AB342" s="63"/>
    </x:row>
    <x:row r="343">
      <x:c r="A343" s="54"/>
      <x:c r="B343" s="68"/>
      <x:c r="C343" s="54"/>
      <x:c r="D343" s="54"/>
      <x:c r="E343" s="54"/>
      <x:c r="F343" s="54"/>
      <x:c r="G343" s="54"/>
      <x:c r="H343" s="54"/>
      <x:c r="I343" s="54"/>
      <x:c r="J343" s="54"/>
      <x:c r="K343" s="54"/>
      <x:c r="L343" s="54"/>
      <x:c r="M343" s="54"/>
      <x:c r="N343" s="54"/>
      <x:c r="O343" s="57" t="str">
        <x:f>IF($C343="","",MAX(0,MIN(100,IFERROR(VLOOKUP($L343,'Lists &amp; Rules'!$P$5:$Q$8,2,FALSE),0)+IFERROR(VLOOKUP($N343,'Lists &amp; Rules'!$S$5:$T$7,2,FALSE),0)+IFERROR(VLOOKUP($M343,'Lists &amp; Rules'!$L$5:$N$13,3,FALSE),0)+IF($R343="Overdue",-10,IF($R343="Today",5,0))+MIN(15,$Z343*3))))</x:f>
      </x:c>
      <x:c r="P343" s="71" t="str">
        <x:f>IF($A343="","",IF(COUNTIF('Activity Log'!$C$6:$C$1005,$A343)=0,"",MAXIFS('Activity Log'!$B$6:$B$1005,'Activity Log'!$C$6:$C$1005,$A343)))</x:f>
      </x:c>
      <x:c r="Q343" s="71" t="str">
        <x:f>IF($A343="","",IF(COUNTIFS('Activity Log'!$C$6:$C$1005,$A343,'Activity Log'!$J$6:$J$1005,"No",'Activity Log'!$I$6:$I$1005,"&gt;0")=0,"",MINIFS('Activity Log'!$I$6:$I$1005,'Activity Log'!$C$6:$C$1005,$A343,'Activity Log'!$J$6:$J$1005,"No",'Activity Log'!$I$6:$I$1005,"&gt;0")))</x:f>
      </x:c>
      <x:c r="R343" s="57" t="str">
        <x:f>IF($C343="","",IF(OR($K343="Won",$K343="Lost",$K343="Disqualified"),"Closed",IF($Q343="","No date",IF(INT($Q343)&lt;TODAY(),"Overdue",IF(INT($Q343)=TODAY(),"Today",IF(INT($Q343)&lt;=TODAY()+7,"Next 7 days","Later"))))))</x:f>
      </x:c>
      <x:c r="S343" s="57" t="str">
        <x:f>IF(OR($C343="",$P343=""),"",TODAY()-INT($P343))</x:f>
      </x:c>
      <x:c r="T343" s="54"/>
      <x:c r="U343" s="54"/>
      <x:c r="V343" s="63"/>
      <x:c r="W343" s="74"/>
      <x:c r="X343" s="77" t="str">
        <x:f>IF($C343="","",IFERROR(VLOOKUP($M343,'Lists &amp; Rules'!$L$5:$N$13,2,FALSE),0))</x:f>
      </x:c>
      <x:c r="Y343" s="80" t="str">
        <x:f>IF(OR($C343="",$W343=""),"",ROUND($W343*$X343,0))</x:f>
      </x:c>
      <x:c r="Z343" s="57" t="str">
        <x:f>IF($A343="","",COUNTIF('Activity Log'!$C$6:$C$1005,$A343))</x:f>
      </x:c>
      <x:c r="AA343" s="68"/>
      <x:c r="AB343" s="63"/>
    </x:row>
    <x:row r="344">
      <x:c r="A344" s="54"/>
      <x:c r="B344" s="68"/>
      <x:c r="C344" s="54"/>
      <x:c r="D344" s="54"/>
      <x:c r="E344" s="54"/>
      <x:c r="F344" s="54"/>
      <x:c r="G344" s="54"/>
      <x:c r="H344" s="54"/>
      <x:c r="I344" s="54"/>
      <x:c r="J344" s="54"/>
      <x:c r="K344" s="54"/>
      <x:c r="L344" s="54"/>
      <x:c r="M344" s="54"/>
      <x:c r="N344" s="54"/>
      <x:c r="O344" s="57" t="str">
        <x:f>IF($C344="","",MAX(0,MIN(100,IFERROR(VLOOKUP($L344,'Lists &amp; Rules'!$P$5:$Q$8,2,FALSE),0)+IFERROR(VLOOKUP($N344,'Lists &amp; Rules'!$S$5:$T$7,2,FALSE),0)+IFERROR(VLOOKUP($M344,'Lists &amp; Rules'!$L$5:$N$13,3,FALSE),0)+IF($R344="Overdue",-10,IF($R344="Today",5,0))+MIN(15,$Z344*3))))</x:f>
      </x:c>
      <x:c r="P344" s="71" t="str">
        <x:f>IF($A344="","",IF(COUNTIF('Activity Log'!$C$6:$C$1005,$A344)=0,"",MAXIFS('Activity Log'!$B$6:$B$1005,'Activity Log'!$C$6:$C$1005,$A344)))</x:f>
      </x:c>
      <x:c r="Q344" s="71" t="str">
        <x:f>IF($A344="","",IF(COUNTIFS('Activity Log'!$C$6:$C$1005,$A344,'Activity Log'!$J$6:$J$1005,"No",'Activity Log'!$I$6:$I$1005,"&gt;0")=0,"",MINIFS('Activity Log'!$I$6:$I$1005,'Activity Log'!$C$6:$C$1005,$A344,'Activity Log'!$J$6:$J$1005,"No",'Activity Log'!$I$6:$I$1005,"&gt;0")))</x:f>
      </x:c>
      <x:c r="R344" s="57" t="str">
        <x:f>IF($C344="","",IF(OR($K344="Won",$K344="Lost",$K344="Disqualified"),"Closed",IF($Q344="","No date",IF(INT($Q344)&lt;TODAY(),"Overdue",IF(INT($Q344)=TODAY(),"Today",IF(INT($Q344)&lt;=TODAY()+7,"Next 7 days","Later"))))))</x:f>
      </x:c>
      <x:c r="S344" s="57" t="str">
        <x:f>IF(OR($C344="",$P344=""),"",TODAY()-INT($P344))</x:f>
      </x:c>
      <x:c r="T344" s="54"/>
      <x:c r="U344" s="54"/>
      <x:c r="V344" s="63"/>
      <x:c r="W344" s="74"/>
      <x:c r="X344" s="77" t="str">
        <x:f>IF($C344="","",IFERROR(VLOOKUP($M344,'Lists &amp; Rules'!$L$5:$N$13,2,FALSE),0))</x:f>
      </x:c>
      <x:c r="Y344" s="80" t="str">
        <x:f>IF(OR($C344="",$W344=""),"",ROUND($W344*$X344,0))</x:f>
      </x:c>
      <x:c r="Z344" s="57" t="str">
        <x:f>IF($A344="","",COUNTIF('Activity Log'!$C$6:$C$1005,$A344))</x:f>
      </x:c>
      <x:c r="AA344" s="68"/>
      <x:c r="AB344" s="63"/>
    </x:row>
    <x:row r="345">
      <x:c r="A345" s="54"/>
      <x:c r="B345" s="68"/>
      <x:c r="C345" s="54"/>
      <x:c r="D345" s="54"/>
      <x:c r="E345" s="54"/>
      <x:c r="F345" s="54"/>
      <x:c r="G345" s="54"/>
      <x:c r="H345" s="54"/>
      <x:c r="I345" s="54"/>
      <x:c r="J345" s="54"/>
      <x:c r="K345" s="54"/>
      <x:c r="L345" s="54"/>
      <x:c r="M345" s="54"/>
      <x:c r="N345" s="54"/>
      <x:c r="O345" s="57" t="str">
        <x:f>IF($C345="","",MAX(0,MIN(100,IFERROR(VLOOKUP($L345,'Lists &amp; Rules'!$P$5:$Q$8,2,FALSE),0)+IFERROR(VLOOKUP($N345,'Lists &amp; Rules'!$S$5:$T$7,2,FALSE),0)+IFERROR(VLOOKUP($M345,'Lists &amp; Rules'!$L$5:$N$13,3,FALSE),0)+IF($R345="Overdue",-10,IF($R345="Today",5,0))+MIN(15,$Z345*3))))</x:f>
      </x:c>
      <x:c r="P345" s="71" t="str">
        <x:f>IF($A345="","",IF(COUNTIF('Activity Log'!$C$6:$C$1005,$A345)=0,"",MAXIFS('Activity Log'!$B$6:$B$1005,'Activity Log'!$C$6:$C$1005,$A345)))</x:f>
      </x:c>
      <x:c r="Q345" s="71" t="str">
        <x:f>IF($A345="","",IF(COUNTIFS('Activity Log'!$C$6:$C$1005,$A345,'Activity Log'!$J$6:$J$1005,"No",'Activity Log'!$I$6:$I$1005,"&gt;0")=0,"",MINIFS('Activity Log'!$I$6:$I$1005,'Activity Log'!$C$6:$C$1005,$A345,'Activity Log'!$J$6:$J$1005,"No",'Activity Log'!$I$6:$I$1005,"&gt;0")))</x:f>
      </x:c>
      <x:c r="R345" s="57" t="str">
        <x:f>IF($C345="","",IF(OR($K345="Won",$K345="Lost",$K345="Disqualified"),"Closed",IF($Q345="","No date",IF(INT($Q345)&lt;TODAY(),"Overdue",IF(INT($Q345)=TODAY(),"Today",IF(INT($Q345)&lt;=TODAY()+7,"Next 7 days","Later"))))))</x:f>
      </x:c>
      <x:c r="S345" s="57" t="str">
        <x:f>IF(OR($C345="",$P345=""),"",TODAY()-INT($P345))</x:f>
      </x:c>
      <x:c r="T345" s="54"/>
      <x:c r="U345" s="54"/>
      <x:c r="V345" s="63"/>
      <x:c r="W345" s="74"/>
      <x:c r="X345" s="77" t="str">
        <x:f>IF($C345="","",IFERROR(VLOOKUP($M345,'Lists &amp; Rules'!$L$5:$N$13,2,FALSE),0))</x:f>
      </x:c>
      <x:c r="Y345" s="80" t="str">
        <x:f>IF(OR($C345="",$W345=""),"",ROUND($W345*$X345,0))</x:f>
      </x:c>
      <x:c r="Z345" s="57" t="str">
        <x:f>IF($A345="","",COUNTIF('Activity Log'!$C$6:$C$1005,$A345))</x:f>
      </x:c>
      <x:c r="AA345" s="68"/>
      <x:c r="AB345" s="63"/>
    </x:row>
    <x:row r="346">
      <x:c r="A346" s="54"/>
      <x:c r="B346" s="68"/>
      <x:c r="C346" s="54"/>
      <x:c r="D346" s="54"/>
      <x:c r="E346" s="54"/>
      <x:c r="F346" s="54"/>
      <x:c r="G346" s="54"/>
      <x:c r="H346" s="54"/>
      <x:c r="I346" s="54"/>
      <x:c r="J346" s="54"/>
      <x:c r="K346" s="54"/>
      <x:c r="L346" s="54"/>
      <x:c r="M346" s="54"/>
      <x:c r="N346" s="54"/>
      <x:c r="O346" s="57" t="str">
        <x:f>IF($C346="","",MAX(0,MIN(100,IFERROR(VLOOKUP($L346,'Lists &amp; Rules'!$P$5:$Q$8,2,FALSE),0)+IFERROR(VLOOKUP($N346,'Lists &amp; Rules'!$S$5:$T$7,2,FALSE),0)+IFERROR(VLOOKUP($M346,'Lists &amp; Rules'!$L$5:$N$13,3,FALSE),0)+IF($R346="Overdue",-10,IF($R346="Today",5,0))+MIN(15,$Z346*3))))</x:f>
      </x:c>
      <x:c r="P346" s="71" t="str">
        <x:f>IF($A346="","",IF(COUNTIF('Activity Log'!$C$6:$C$1005,$A346)=0,"",MAXIFS('Activity Log'!$B$6:$B$1005,'Activity Log'!$C$6:$C$1005,$A346)))</x:f>
      </x:c>
      <x:c r="Q346" s="71" t="str">
        <x:f>IF($A346="","",IF(COUNTIFS('Activity Log'!$C$6:$C$1005,$A346,'Activity Log'!$J$6:$J$1005,"No",'Activity Log'!$I$6:$I$1005,"&gt;0")=0,"",MINIFS('Activity Log'!$I$6:$I$1005,'Activity Log'!$C$6:$C$1005,$A346,'Activity Log'!$J$6:$J$1005,"No",'Activity Log'!$I$6:$I$1005,"&gt;0")))</x:f>
      </x:c>
      <x:c r="R346" s="57" t="str">
        <x:f>IF($C346="","",IF(OR($K346="Won",$K346="Lost",$K346="Disqualified"),"Closed",IF($Q346="","No date",IF(INT($Q346)&lt;TODAY(),"Overdue",IF(INT($Q346)=TODAY(),"Today",IF(INT($Q346)&lt;=TODAY()+7,"Next 7 days","Later"))))))</x:f>
      </x:c>
      <x:c r="S346" s="57" t="str">
        <x:f>IF(OR($C346="",$P346=""),"",TODAY()-INT($P346))</x:f>
      </x:c>
      <x:c r="T346" s="54"/>
      <x:c r="U346" s="54"/>
      <x:c r="V346" s="63"/>
      <x:c r="W346" s="74"/>
      <x:c r="X346" s="77" t="str">
        <x:f>IF($C346="","",IFERROR(VLOOKUP($M346,'Lists &amp; Rules'!$L$5:$N$13,2,FALSE),0))</x:f>
      </x:c>
      <x:c r="Y346" s="80" t="str">
        <x:f>IF(OR($C346="",$W346=""),"",ROUND($W346*$X346,0))</x:f>
      </x:c>
      <x:c r="Z346" s="57" t="str">
        <x:f>IF($A346="","",COUNTIF('Activity Log'!$C$6:$C$1005,$A346))</x:f>
      </x:c>
      <x:c r="AA346" s="68"/>
      <x:c r="AB346" s="63"/>
    </x:row>
    <x:row r="347">
      <x:c r="A347" s="54"/>
      <x:c r="B347" s="68"/>
      <x:c r="C347" s="54"/>
      <x:c r="D347" s="54"/>
      <x:c r="E347" s="54"/>
      <x:c r="F347" s="54"/>
      <x:c r="G347" s="54"/>
      <x:c r="H347" s="54"/>
      <x:c r="I347" s="54"/>
      <x:c r="J347" s="54"/>
      <x:c r="K347" s="54"/>
      <x:c r="L347" s="54"/>
      <x:c r="M347" s="54"/>
      <x:c r="N347" s="54"/>
      <x:c r="O347" s="57" t="str">
        <x:f>IF($C347="","",MAX(0,MIN(100,IFERROR(VLOOKUP($L347,'Lists &amp; Rules'!$P$5:$Q$8,2,FALSE),0)+IFERROR(VLOOKUP($N347,'Lists &amp; Rules'!$S$5:$T$7,2,FALSE),0)+IFERROR(VLOOKUP($M347,'Lists &amp; Rules'!$L$5:$N$13,3,FALSE),0)+IF($R347="Overdue",-10,IF($R347="Today",5,0))+MIN(15,$Z347*3))))</x:f>
      </x:c>
      <x:c r="P347" s="71" t="str">
        <x:f>IF($A347="","",IF(COUNTIF('Activity Log'!$C$6:$C$1005,$A347)=0,"",MAXIFS('Activity Log'!$B$6:$B$1005,'Activity Log'!$C$6:$C$1005,$A347)))</x:f>
      </x:c>
      <x:c r="Q347" s="71" t="str">
        <x:f>IF($A347="","",IF(COUNTIFS('Activity Log'!$C$6:$C$1005,$A347,'Activity Log'!$J$6:$J$1005,"No",'Activity Log'!$I$6:$I$1005,"&gt;0")=0,"",MINIFS('Activity Log'!$I$6:$I$1005,'Activity Log'!$C$6:$C$1005,$A347,'Activity Log'!$J$6:$J$1005,"No",'Activity Log'!$I$6:$I$1005,"&gt;0")))</x:f>
      </x:c>
      <x:c r="R347" s="57" t="str">
        <x:f>IF($C347="","",IF(OR($K347="Won",$K347="Lost",$K347="Disqualified"),"Closed",IF($Q347="","No date",IF(INT($Q347)&lt;TODAY(),"Overdue",IF(INT($Q347)=TODAY(),"Today",IF(INT($Q347)&lt;=TODAY()+7,"Next 7 days","Later"))))))</x:f>
      </x:c>
      <x:c r="S347" s="57" t="str">
        <x:f>IF(OR($C347="",$P347=""),"",TODAY()-INT($P347))</x:f>
      </x:c>
      <x:c r="T347" s="54"/>
      <x:c r="U347" s="54"/>
      <x:c r="V347" s="63"/>
      <x:c r="W347" s="74"/>
      <x:c r="X347" s="77" t="str">
        <x:f>IF($C347="","",IFERROR(VLOOKUP($M347,'Lists &amp; Rules'!$L$5:$N$13,2,FALSE),0))</x:f>
      </x:c>
      <x:c r="Y347" s="80" t="str">
        <x:f>IF(OR($C347="",$W347=""),"",ROUND($W347*$X347,0))</x:f>
      </x:c>
      <x:c r="Z347" s="57" t="str">
        <x:f>IF($A347="","",COUNTIF('Activity Log'!$C$6:$C$1005,$A347))</x:f>
      </x:c>
      <x:c r="AA347" s="68"/>
      <x:c r="AB347" s="63"/>
    </x:row>
    <x:row r="348">
      <x:c r="A348" s="54"/>
      <x:c r="B348" s="68"/>
      <x:c r="C348" s="54"/>
      <x:c r="D348" s="54"/>
      <x:c r="E348" s="54"/>
      <x:c r="F348" s="54"/>
      <x:c r="G348" s="54"/>
      <x:c r="H348" s="54"/>
      <x:c r="I348" s="54"/>
      <x:c r="J348" s="54"/>
      <x:c r="K348" s="54"/>
      <x:c r="L348" s="54"/>
      <x:c r="M348" s="54"/>
      <x:c r="N348" s="54"/>
      <x:c r="O348" s="57" t="str">
        <x:f>IF($C348="","",MAX(0,MIN(100,IFERROR(VLOOKUP($L348,'Lists &amp; Rules'!$P$5:$Q$8,2,FALSE),0)+IFERROR(VLOOKUP($N348,'Lists &amp; Rules'!$S$5:$T$7,2,FALSE),0)+IFERROR(VLOOKUP($M348,'Lists &amp; Rules'!$L$5:$N$13,3,FALSE),0)+IF($R348="Overdue",-10,IF($R348="Today",5,0))+MIN(15,$Z348*3))))</x:f>
      </x:c>
      <x:c r="P348" s="71" t="str">
        <x:f>IF($A348="","",IF(COUNTIF('Activity Log'!$C$6:$C$1005,$A348)=0,"",MAXIFS('Activity Log'!$B$6:$B$1005,'Activity Log'!$C$6:$C$1005,$A348)))</x:f>
      </x:c>
      <x:c r="Q348" s="71" t="str">
        <x:f>IF($A348="","",IF(COUNTIFS('Activity Log'!$C$6:$C$1005,$A348,'Activity Log'!$J$6:$J$1005,"No",'Activity Log'!$I$6:$I$1005,"&gt;0")=0,"",MINIFS('Activity Log'!$I$6:$I$1005,'Activity Log'!$C$6:$C$1005,$A348,'Activity Log'!$J$6:$J$1005,"No",'Activity Log'!$I$6:$I$1005,"&gt;0")))</x:f>
      </x:c>
      <x:c r="R348" s="57" t="str">
        <x:f>IF($C348="","",IF(OR($K348="Won",$K348="Lost",$K348="Disqualified"),"Closed",IF($Q348="","No date",IF(INT($Q348)&lt;TODAY(),"Overdue",IF(INT($Q348)=TODAY(),"Today",IF(INT($Q348)&lt;=TODAY()+7,"Next 7 days","Later"))))))</x:f>
      </x:c>
      <x:c r="S348" s="57" t="str">
        <x:f>IF(OR($C348="",$P348=""),"",TODAY()-INT($P348))</x:f>
      </x:c>
      <x:c r="T348" s="54"/>
      <x:c r="U348" s="54"/>
      <x:c r="V348" s="63"/>
      <x:c r="W348" s="74"/>
      <x:c r="X348" s="77" t="str">
        <x:f>IF($C348="","",IFERROR(VLOOKUP($M348,'Lists &amp; Rules'!$L$5:$N$13,2,FALSE),0))</x:f>
      </x:c>
      <x:c r="Y348" s="80" t="str">
        <x:f>IF(OR($C348="",$W348=""),"",ROUND($W348*$X348,0))</x:f>
      </x:c>
      <x:c r="Z348" s="57" t="str">
        <x:f>IF($A348="","",COUNTIF('Activity Log'!$C$6:$C$1005,$A348))</x:f>
      </x:c>
      <x:c r="AA348" s="68"/>
      <x:c r="AB348" s="63"/>
    </x:row>
    <x:row r="349">
      <x:c r="A349" s="54"/>
      <x:c r="B349" s="68"/>
      <x:c r="C349" s="54"/>
      <x:c r="D349" s="54"/>
      <x:c r="E349" s="54"/>
      <x:c r="F349" s="54"/>
      <x:c r="G349" s="54"/>
      <x:c r="H349" s="54"/>
      <x:c r="I349" s="54"/>
      <x:c r="J349" s="54"/>
      <x:c r="K349" s="54"/>
      <x:c r="L349" s="54"/>
      <x:c r="M349" s="54"/>
      <x:c r="N349" s="54"/>
      <x:c r="O349" s="57" t="str">
        <x:f>IF($C349="","",MAX(0,MIN(100,IFERROR(VLOOKUP($L349,'Lists &amp; Rules'!$P$5:$Q$8,2,FALSE),0)+IFERROR(VLOOKUP($N349,'Lists &amp; Rules'!$S$5:$T$7,2,FALSE),0)+IFERROR(VLOOKUP($M349,'Lists &amp; Rules'!$L$5:$N$13,3,FALSE),0)+IF($R349="Overdue",-10,IF($R349="Today",5,0))+MIN(15,$Z349*3))))</x:f>
      </x:c>
      <x:c r="P349" s="71" t="str">
        <x:f>IF($A349="","",IF(COUNTIF('Activity Log'!$C$6:$C$1005,$A349)=0,"",MAXIFS('Activity Log'!$B$6:$B$1005,'Activity Log'!$C$6:$C$1005,$A349)))</x:f>
      </x:c>
      <x:c r="Q349" s="71" t="str">
        <x:f>IF($A349="","",IF(COUNTIFS('Activity Log'!$C$6:$C$1005,$A349,'Activity Log'!$J$6:$J$1005,"No",'Activity Log'!$I$6:$I$1005,"&gt;0")=0,"",MINIFS('Activity Log'!$I$6:$I$1005,'Activity Log'!$C$6:$C$1005,$A349,'Activity Log'!$J$6:$J$1005,"No",'Activity Log'!$I$6:$I$1005,"&gt;0")))</x:f>
      </x:c>
      <x:c r="R349" s="57" t="str">
        <x:f>IF($C349="","",IF(OR($K349="Won",$K349="Lost",$K349="Disqualified"),"Closed",IF($Q349="","No date",IF(INT($Q349)&lt;TODAY(),"Overdue",IF(INT($Q349)=TODAY(),"Today",IF(INT($Q349)&lt;=TODAY()+7,"Next 7 days","Later"))))))</x:f>
      </x:c>
      <x:c r="S349" s="57" t="str">
        <x:f>IF(OR($C349="",$P349=""),"",TODAY()-INT($P349))</x:f>
      </x:c>
      <x:c r="T349" s="54"/>
      <x:c r="U349" s="54"/>
      <x:c r="V349" s="63"/>
      <x:c r="W349" s="74"/>
      <x:c r="X349" s="77" t="str">
        <x:f>IF($C349="","",IFERROR(VLOOKUP($M349,'Lists &amp; Rules'!$L$5:$N$13,2,FALSE),0))</x:f>
      </x:c>
      <x:c r="Y349" s="80" t="str">
        <x:f>IF(OR($C349="",$W349=""),"",ROUND($W349*$X349,0))</x:f>
      </x:c>
      <x:c r="Z349" s="57" t="str">
        <x:f>IF($A349="","",COUNTIF('Activity Log'!$C$6:$C$1005,$A349))</x:f>
      </x:c>
      <x:c r="AA349" s="68"/>
      <x:c r="AB349" s="63"/>
    </x:row>
    <x:row r="350">
      <x:c r="A350" s="54"/>
      <x:c r="B350" s="68"/>
      <x:c r="C350" s="54"/>
      <x:c r="D350" s="54"/>
      <x:c r="E350" s="54"/>
      <x:c r="F350" s="54"/>
      <x:c r="G350" s="54"/>
      <x:c r="H350" s="54"/>
      <x:c r="I350" s="54"/>
      <x:c r="J350" s="54"/>
      <x:c r="K350" s="54"/>
      <x:c r="L350" s="54"/>
      <x:c r="M350" s="54"/>
      <x:c r="N350" s="54"/>
      <x:c r="O350" s="57" t="str">
        <x:f>IF($C350="","",MAX(0,MIN(100,IFERROR(VLOOKUP($L350,'Lists &amp; Rules'!$P$5:$Q$8,2,FALSE),0)+IFERROR(VLOOKUP($N350,'Lists &amp; Rules'!$S$5:$T$7,2,FALSE),0)+IFERROR(VLOOKUP($M350,'Lists &amp; Rules'!$L$5:$N$13,3,FALSE),0)+IF($R350="Overdue",-10,IF($R350="Today",5,0))+MIN(15,$Z350*3))))</x:f>
      </x:c>
      <x:c r="P350" s="71" t="str">
        <x:f>IF($A350="","",IF(COUNTIF('Activity Log'!$C$6:$C$1005,$A350)=0,"",MAXIFS('Activity Log'!$B$6:$B$1005,'Activity Log'!$C$6:$C$1005,$A350)))</x:f>
      </x:c>
      <x:c r="Q350" s="71" t="str">
        <x:f>IF($A350="","",IF(COUNTIFS('Activity Log'!$C$6:$C$1005,$A350,'Activity Log'!$J$6:$J$1005,"No",'Activity Log'!$I$6:$I$1005,"&gt;0")=0,"",MINIFS('Activity Log'!$I$6:$I$1005,'Activity Log'!$C$6:$C$1005,$A350,'Activity Log'!$J$6:$J$1005,"No",'Activity Log'!$I$6:$I$1005,"&gt;0")))</x:f>
      </x:c>
      <x:c r="R350" s="57" t="str">
        <x:f>IF($C350="","",IF(OR($K350="Won",$K350="Lost",$K350="Disqualified"),"Closed",IF($Q350="","No date",IF(INT($Q350)&lt;TODAY(),"Overdue",IF(INT($Q350)=TODAY(),"Today",IF(INT($Q350)&lt;=TODAY()+7,"Next 7 days","Later"))))))</x:f>
      </x:c>
      <x:c r="S350" s="57" t="str">
        <x:f>IF(OR($C350="",$P350=""),"",TODAY()-INT($P350))</x:f>
      </x:c>
      <x:c r="T350" s="54"/>
      <x:c r="U350" s="54"/>
      <x:c r="V350" s="63"/>
      <x:c r="W350" s="74"/>
      <x:c r="X350" s="77" t="str">
        <x:f>IF($C350="","",IFERROR(VLOOKUP($M350,'Lists &amp; Rules'!$L$5:$N$13,2,FALSE),0))</x:f>
      </x:c>
      <x:c r="Y350" s="80" t="str">
        <x:f>IF(OR($C350="",$W350=""),"",ROUND($W350*$X350,0))</x:f>
      </x:c>
      <x:c r="Z350" s="57" t="str">
        <x:f>IF($A350="","",COUNTIF('Activity Log'!$C$6:$C$1005,$A350))</x:f>
      </x:c>
      <x:c r="AA350" s="68"/>
      <x:c r="AB350" s="63"/>
    </x:row>
    <x:row r="351">
      <x:c r="A351" s="54"/>
      <x:c r="B351" s="68"/>
      <x:c r="C351" s="54"/>
      <x:c r="D351" s="54"/>
      <x:c r="E351" s="54"/>
      <x:c r="F351" s="54"/>
      <x:c r="G351" s="54"/>
      <x:c r="H351" s="54"/>
      <x:c r="I351" s="54"/>
      <x:c r="J351" s="54"/>
      <x:c r="K351" s="54"/>
      <x:c r="L351" s="54"/>
      <x:c r="M351" s="54"/>
      <x:c r="N351" s="54"/>
      <x:c r="O351" s="57" t="str">
        <x:f>IF($C351="","",MAX(0,MIN(100,IFERROR(VLOOKUP($L351,'Lists &amp; Rules'!$P$5:$Q$8,2,FALSE),0)+IFERROR(VLOOKUP($N351,'Lists &amp; Rules'!$S$5:$T$7,2,FALSE),0)+IFERROR(VLOOKUP($M351,'Lists &amp; Rules'!$L$5:$N$13,3,FALSE),0)+IF($R351="Overdue",-10,IF($R351="Today",5,0))+MIN(15,$Z351*3))))</x:f>
      </x:c>
      <x:c r="P351" s="71" t="str">
        <x:f>IF($A351="","",IF(COUNTIF('Activity Log'!$C$6:$C$1005,$A351)=0,"",MAXIFS('Activity Log'!$B$6:$B$1005,'Activity Log'!$C$6:$C$1005,$A351)))</x:f>
      </x:c>
      <x:c r="Q351" s="71" t="str">
        <x:f>IF($A351="","",IF(COUNTIFS('Activity Log'!$C$6:$C$1005,$A351,'Activity Log'!$J$6:$J$1005,"No",'Activity Log'!$I$6:$I$1005,"&gt;0")=0,"",MINIFS('Activity Log'!$I$6:$I$1005,'Activity Log'!$C$6:$C$1005,$A351,'Activity Log'!$J$6:$J$1005,"No",'Activity Log'!$I$6:$I$1005,"&gt;0")))</x:f>
      </x:c>
      <x:c r="R351" s="57" t="str">
        <x:f>IF($C351="","",IF(OR($K351="Won",$K351="Lost",$K351="Disqualified"),"Closed",IF($Q351="","No date",IF(INT($Q351)&lt;TODAY(),"Overdue",IF(INT($Q351)=TODAY(),"Today",IF(INT($Q351)&lt;=TODAY()+7,"Next 7 days","Later"))))))</x:f>
      </x:c>
      <x:c r="S351" s="57" t="str">
        <x:f>IF(OR($C351="",$P351=""),"",TODAY()-INT($P351))</x:f>
      </x:c>
      <x:c r="T351" s="54"/>
      <x:c r="U351" s="54"/>
      <x:c r="V351" s="63"/>
      <x:c r="W351" s="74"/>
      <x:c r="X351" s="77" t="str">
        <x:f>IF($C351="","",IFERROR(VLOOKUP($M351,'Lists &amp; Rules'!$L$5:$N$13,2,FALSE),0))</x:f>
      </x:c>
      <x:c r="Y351" s="80" t="str">
        <x:f>IF(OR($C351="",$W351=""),"",ROUND($W351*$X351,0))</x:f>
      </x:c>
      <x:c r="Z351" s="57" t="str">
        <x:f>IF($A351="","",COUNTIF('Activity Log'!$C$6:$C$1005,$A351))</x:f>
      </x:c>
      <x:c r="AA351" s="68"/>
      <x:c r="AB351" s="63"/>
    </x:row>
    <x:row r="352">
      <x:c r="A352" s="54"/>
      <x:c r="B352" s="68"/>
      <x:c r="C352" s="54"/>
      <x:c r="D352" s="54"/>
      <x:c r="E352" s="54"/>
      <x:c r="F352" s="54"/>
      <x:c r="G352" s="54"/>
      <x:c r="H352" s="54"/>
      <x:c r="I352" s="54"/>
      <x:c r="J352" s="54"/>
      <x:c r="K352" s="54"/>
      <x:c r="L352" s="54"/>
      <x:c r="M352" s="54"/>
      <x:c r="N352" s="54"/>
      <x:c r="O352" s="57" t="str">
        <x:f>IF($C352="","",MAX(0,MIN(100,IFERROR(VLOOKUP($L352,'Lists &amp; Rules'!$P$5:$Q$8,2,FALSE),0)+IFERROR(VLOOKUP($N352,'Lists &amp; Rules'!$S$5:$T$7,2,FALSE),0)+IFERROR(VLOOKUP($M352,'Lists &amp; Rules'!$L$5:$N$13,3,FALSE),0)+IF($R352="Overdue",-10,IF($R352="Today",5,0))+MIN(15,$Z352*3))))</x:f>
      </x:c>
      <x:c r="P352" s="71" t="str">
        <x:f>IF($A352="","",IF(COUNTIF('Activity Log'!$C$6:$C$1005,$A352)=0,"",MAXIFS('Activity Log'!$B$6:$B$1005,'Activity Log'!$C$6:$C$1005,$A352)))</x:f>
      </x:c>
      <x:c r="Q352" s="71" t="str">
        <x:f>IF($A352="","",IF(COUNTIFS('Activity Log'!$C$6:$C$1005,$A352,'Activity Log'!$J$6:$J$1005,"No",'Activity Log'!$I$6:$I$1005,"&gt;0")=0,"",MINIFS('Activity Log'!$I$6:$I$1005,'Activity Log'!$C$6:$C$1005,$A352,'Activity Log'!$J$6:$J$1005,"No",'Activity Log'!$I$6:$I$1005,"&gt;0")))</x:f>
      </x:c>
      <x:c r="R352" s="57" t="str">
        <x:f>IF($C352="","",IF(OR($K352="Won",$K352="Lost",$K352="Disqualified"),"Closed",IF($Q352="","No date",IF(INT($Q352)&lt;TODAY(),"Overdue",IF(INT($Q352)=TODAY(),"Today",IF(INT($Q352)&lt;=TODAY()+7,"Next 7 days","Later"))))))</x:f>
      </x:c>
      <x:c r="S352" s="57" t="str">
        <x:f>IF(OR($C352="",$P352=""),"",TODAY()-INT($P352))</x:f>
      </x:c>
      <x:c r="T352" s="54"/>
      <x:c r="U352" s="54"/>
      <x:c r="V352" s="63"/>
      <x:c r="W352" s="74"/>
      <x:c r="X352" s="77" t="str">
        <x:f>IF($C352="","",IFERROR(VLOOKUP($M352,'Lists &amp; Rules'!$L$5:$N$13,2,FALSE),0))</x:f>
      </x:c>
      <x:c r="Y352" s="80" t="str">
        <x:f>IF(OR($C352="",$W352=""),"",ROUND($W352*$X352,0))</x:f>
      </x:c>
      <x:c r="Z352" s="57" t="str">
        <x:f>IF($A352="","",COUNTIF('Activity Log'!$C$6:$C$1005,$A352))</x:f>
      </x:c>
      <x:c r="AA352" s="68"/>
      <x:c r="AB352" s="63"/>
    </x:row>
    <x:row r="353">
      <x:c r="A353" s="54"/>
      <x:c r="B353" s="68"/>
      <x:c r="C353" s="54"/>
      <x:c r="D353" s="54"/>
      <x:c r="E353" s="54"/>
      <x:c r="F353" s="54"/>
      <x:c r="G353" s="54"/>
      <x:c r="H353" s="54"/>
      <x:c r="I353" s="54"/>
      <x:c r="J353" s="54"/>
      <x:c r="K353" s="54"/>
      <x:c r="L353" s="54"/>
      <x:c r="M353" s="54"/>
      <x:c r="N353" s="54"/>
      <x:c r="O353" s="57" t="str">
        <x:f>IF($C353="","",MAX(0,MIN(100,IFERROR(VLOOKUP($L353,'Lists &amp; Rules'!$P$5:$Q$8,2,FALSE),0)+IFERROR(VLOOKUP($N353,'Lists &amp; Rules'!$S$5:$T$7,2,FALSE),0)+IFERROR(VLOOKUP($M353,'Lists &amp; Rules'!$L$5:$N$13,3,FALSE),0)+IF($R353="Overdue",-10,IF($R353="Today",5,0))+MIN(15,$Z353*3))))</x:f>
      </x:c>
      <x:c r="P353" s="71" t="str">
        <x:f>IF($A353="","",IF(COUNTIF('Activity Log'!$C$6:$C$1005,$A353)=0,"",MAXIFS('Activity Log'!$B$6:$B$1005,'Activity Log'!$C$6:$C$1005,$A353)))</x:f>
      </x:c>
      <x:c r="Q353" s="71" t="str">
        <x:f>IF($A353="","",IF(COUNTIFS('Activity Log'!$C$6:$C$1005,$A353,'Activity Log'!$J$6:$J$1005,"No",'Activity Log'!$I$6:$I$1005,"&gt;0")=0,"",MINIFS('Activity Log'!$I$6:$I$1005,'Activity Log'!$C$6:$C$1005,$A353,'Activity Log'!$J$6:$J$1005,"No",'Activity Log'!$I$6:$I$1005,"&gt;0")))</x:f>
      </x:c>
      <x:c r="R353" s="57" t="str">
        <x:f>IF($C353="","",IF(OR($K353="Won",$K353="Lost",$K353="Disqualified"),"Closed",IF($Q353="","No date",IF(INT($Q353)&lt;TODAY(),"Overdue",IF(INT($Q353)=TODAY(),"Today",IF(INT($Q353)&lt;=TODAY()+7,"Next 7 days","Later"))))))</x:f>
      </x:c>
      <x:c r="S353" s="57" t="str">
        <x:f>IF(OR($C353="",$P353=""),"",TODAY()-INT($P353))</x:f>
      </x:c>
      <x:c r="T353" s="54"/>
      <x:c r="U353" s="54"/>
      <x:c r="V353" s="63"/>
      <x:c r="W353" s="74"/>
      <x:c r="X353" s="77" t="str">
        <x:f>IF($C353="","",IFERROR(VLOOKUP($M353,'Lists &amp; Rules'!$L$5:$N$13,2,FALSE),0))</x:f>
      </x:c>
      <x:c r="Y353" s="80" t="str">
        <x:f>IF(OR($C353="",$W353=""),"",ROUND($W353*$X353,0))</x:f>
      </x:c>
      <x:c r="Z353" s="57" t="str">
        <x:f>IF($A353="","",COUNTIF('Activity Log'!$C$6:$C$1005,$A353))</x:f>
      </x:c>
      <x:c r="AA353" s="68"/>
      <x:c r="AB353" s="63"/>
    </x:row>
    <x:row r="354">
      <x:c r="A354" s="54"/>
      <x:c r="B354" s="68"/>
      <x:c r="C354" s="54"/>
      <x:c r="D354" s="54"/>
      <x:c r="E354" s="54"/>
      <x:c r="F354" s="54"/>
      <x:c r="G354" s="54"/>
      <x:c r="H354" s="54"/>
      <x:c r="I354" s="54"/>
      <x:c r="J354" s="54"/>
      <x:c r="K354" s="54"/>
      <x:c r="L354" s="54"/>
      <x:c r="M354" s="54"/>
      <x:c r="N354" s="54"/>
      <x:c r="O354" s="57" t="str">
        <x:f>IF($C354="","",MAX(0,MIN(100,IFERROR(VLOOKUP($L354,'Lists &amp; Rules'!$P$5:$Q$8,2,FALSE),0)+IFERROR(VLOOKUP($N354,'Lists &amp; Rules'!$S$5:$T$7,2,FALSE),0)+IFERROR(VLOOKUP($M354,'Lists &amp; Rules'!$L$5:$N$13,3,FALSE),0)+IF($R354="Overdue",-10,IF($R354="Today",5,0))+MIN(15,$Z354*3))))</x:f>
      </x:c>
      <x:c r="P354" s="71" t="str">
        <x:f>IF($A354="","",IF(COUNTIF('Activity Log'!$C$6:$C$1005,$A354)=0,"",MAXIFS('Activity Log'!$B$6:$B$1005,'Activity Log'!$C$6:$C$1005,$A354)))</x:f>
      </x:c>
      <x:c r="Q354" s="71" t="str">
        <x:f>IF($A354="","",IF(COUNTIFS('Activity Log'!$C$6:$C$1005,$A354,'Activity Log'!$J$6:$J$1005,"No",'Activity Log'!$I$6:$I$1005,"&gt;0")=0,"",MINIFS('Activity Log'!$I$6:$I$1005,'Activity Log'!$C$6:$C$1005,$A354,'Activity Log'!$J$6:$J$1005,"No",'Activity Log'!$I$6:$I$1005,"&gt;0")))</x:f>
      </x:c>
      <x:c r="R354" s="57" t="str">
        <x:f>IF($C354="","",IF(OR($K354="Won",$K354="Lost",$K354="Disqualified"),"Closed",IF($Q354="","No date",IF(INT($Q354)&lt;TODAY(),"Overdue",IF(INT($Q354)=TODAY(),"Today",IF(INT($Q354)&lt;=TODAY()+7,"Next 7 days","Later"))))))</x:f>
      </x:c>
      <x:c r="S354" s="57" t="str">
        <x:f>IF(OR($C354="",$P354=""),"",TODAY()-INT($P354))</x:f>
      </x:c>
      <x:c r="T354" s="54"/>
      <x:c r="U354" s="54"/>
      <x:c r="V354" s="63"/>
      <x:c r="W354" s="74"/>
      <x:c r="X354" s="77" t="str">
        <x:f>IF($C354="","",IFERROR(VLOOKUP($M354,'Lists &amp; Rules'!$L$5:$N$13,2,FALSE),0))</x:f>
      </x:c>
      <x:c r="Y354" s="80" t="str">
        <x:f>IF(OR($C354="",$W354=""),"",ROUND($W354*$X354,0))</x:f>
      </x:c>
      <x:c r="Z354" s="57" t="str">
        <x:f>IF($A354="","",COUNTIF('Activity Log'!$C$6:$C$1005,$A354))</x:f>
      </x:c>
      <x:c r="AA354" s="68"/>
      <x:c r="AB354" s="63"/>
    </x:row>
    <x:row r="355">
      <x:c r="A355" s="54"/>
      <x:c r="B355" s="68"/>
      <x:c r="C355" s="54"/>
      <x:c r="D355" s="54"/>
      <x:c r="E355" s="54"/>
      <x:c r="F355" s="54"/>
      <x:c r="G355" s="54"/>
      <x:c r="H355" s="54"/>
      <x:c r="I355" s="54"/>
      <x:c r="J355" s="54"/>
      <x:c r="K355" s="54"/>
      <x:c r="L355" s="54"/>
      <x:c r="M355" s="54"/>
      <x:c r="N355" s="54"/>
      <x:c r="O355" s="57" t="str">
        <x:f>IF($C355="","",MAX(0,MIN(100,IFERROR(VLOOKUP($L355,'Lists &amp; Rules'!$P$5:$Q$8,2,FALSE),0)+IFERROR(VLOOKUP($N355,'Lists &amp; Rules'!$S$5:$T$7,2,FALSE),0)+IFERROR(VLOOKUP($M355,'Lists &amp; Rules'!$L$5:$N$13,3,FALSE),0)+IF($R355="Overdue",-10,IF($R355="Today",5,0))+MIN(15,$Z355*3))))</x:f>
      </x:c>
      <x:c r="P355" s="71" t="str">
        <x:f>IF($A355="","",IF(COUNTIF('Activity Log'!$C$6:$C$1005,$A355)=0,"",MAXIFS('Activity Log'!$B$6:$B$1005,'Activity Log'!$C$6:$C$1005,$A355)))</x:f>
      </x:c>
      <x:c r="Q355" s="71" t="str">
        <x:f>IF($A355="","",IF(COUNTIFS('Activity Log'!$C$6:$C$1005,$A355,'Activity Log'!$J$6:$J$1005,"No",'Activity Log'!$I$6:$I$1005,"&gt;0")=0,"",MINIFS('Activity Log'!$I$6:$I$1005,'Activity Log'!$C$6:$C$1005,$A355,'Activity Log'!$J$6:$J$1005,"No",'Activity Log'!$I$6:$I$1005,"&gt;0")))</x:f>
      </x:c>
      <x:c r="R355" s="57" t="str">
        <x:f>IF($C355="","",IF(OR($K355="Won",$K355="Lost",$K355="Disqualified"),"Closed",IF($Q355="","No date",IF(INT($Q355)&lt;TODAY(),"Overdue",IF(INT($Q355)=TODAY(),"Today",IF(INT($Q355)&lt;=TODAY()+7,"Next 7 days","Later"))))))</x:f>
      </x:c>
      <x:c r="S355" s="57" t="str">
        <x:f>IF(OR($C355="",$P355=""),"",TODAY()-INT($P355))</x:f>
      </x:c>
      <x:c r="T355" s="54"/>
      <x:c r="U355" s="54"/>
      <x:c r="V355" s="63"/>
      <x:c r="W355" s="74"/>
      <x:c r="X355" s="77" t="str">
        <x:f>IF($C355="","",IFERROR(VLOOKUP($M355,'Lists &amp; Rules'!$L$5:$N$13,2,FALSE),0))</x:f>
      </x:c>
      <x:c r="Y355" s="80" t="str">
        <x:f>IF(OR($C355="",$W355=""),"",ROUND($W355*$X355,0))</x:f>
      </x:c>
      <x:c r="Z355" s="57" t="str">
        <x:f>IF($A355="","",COUNTIF('Activity Log'!$C$6:$C$1005,$A355))</x:f>
      </x:c>
      <x:c r="AA355" s="68"/>
      <x:c r="AB355" s="63"/>
    </x:row>
    <x:row r="356">
      <x:c r="A356" s="54"/>
      <x:c r="B356" s="68"/>
      <x:c r="C356" s="54"/>
      <x:c r="D356" s="54"/>
      <x:c r="E356" s="54"/>
      <x:c r="F356" s="54"/>
      <x:c r="G356" s="54"/>
      <x:c r="H356" s="54"/>
      <x:c r="I356" s="54"/>
      <x:c r="J356" s="54"/>
      <x:c r="K356" s="54"/>
      <x:c r="L356" s="54"/>
      <x:c r="M356" s="54"/>
      <x:c r="N356" s="54"/>
      <x:c r="O356" s="57" t="str">
        <x:f>IF($C356="","",MAX(0,MIN(100,IFERROR(VLOOKUP($L356,'Lists &amp; Rules'!$P$5:$Q$8,2,FALSE),0)+IFERROR(VLOOKUP($N356,'Lists &amp; Rules'!$S$5:$T$7,2,FALSE),0)+IFERROR(VLOOKUP($M356,'Lists &amp; Rules'!$L$5:$N$13,3,FALSE),0)+IF($R356="Overdue",-10,IF($R356="Today",5,0))+MIN(15,$Z356*3))))</x:f>
      </x:c>
      <x:c r="P356" s="71" t="str">
        <x:f>IF($A356="","",IF(COUNTIF('Activity Log'!$C$6:$C$1005,$A356)=0,"",MAXIFS('Activity Log'!$B$6:$B$1005,'Activity Log'!$C$6:$C$1005,$A356)))</x:f>
      </x:c>
      <x:c r="Q356" s="71" t="str">
        <x:f>IF($A356="","",IF(COUNTIFS('Activity Log'!$C$6:$C$1005,$A356,'Activity Log'!$J$6:$J$1005,"No",'Activity Log'!$I$6:$I$1005,"&gt;0")=0,"",MINIFS('Activity Log'!$I$6:$I$1005,'Activity Log'!$C$6:$C$1005,$A356,'Activity Log'!$J$6:$J$1005,"No",'Activity Log'!$I$6:$I$1005,"&gt;0")))</x:f>
      </x:c>
      <x:c r="R356" s="57" t="str">
        <x:f>IF($C356="","",IF(OR($K356="Won",$K356="Lost",$K356="Disqualified"),"Closed",IF($Q356="","No date",IF(INT($Q356)&lt;TODAY(),"Overdue",IF(INT($Q356)=TODAY(),"Today",IF(INT($Q356)&lt;=TODAY()+7,"Next 7 days","Later"))))))</x:f>
      </x:c>
      <x:c r="S356" s="57" t="str">
        <x:f>IF(OR($C356="",$P356=""),"",TODAY()-INT($P356))</x:f>
      </x:c>
      <x:c r="T356" s="54"/>
      <x:c r="U356" s="54"/>
      <x:c r="V356" s="63"/>
      <x:c r="W356" s="74"/>
      <x:c r="X356" s="77" t="str">
        <x:f>IF($C356="","",IFERROR(VLOOKUP($M356,'Lists &amp; Rules'!$L$5:$N$13,2,FALSE),0))</x:f>
      </x:c>
      <x:c r="Y356" s="80" t="str">
        <x:f>IF(OR($C356="",$W356=""),"",ROUND($W356*$X356,0))</x:f>
      </x:c>
      <x:c r="Z356" s="57" t="str">
        <x:f>IF($A356="","",COUNTIF('Activity Log'!$C$6:$C$1005,$A356))</x:f>
      </x:c>
      <x:c r="AA356" s="68"/>
      <x:c r="AB356" s="63"/>
    </x:row>
    <x:row r="357">
      <x:c r="A357" s="54"/>
      <x:c r="B357" s="68"/>
      <x:c r="C357" s="54"/>
      <x:c r="D357" s="54"/>
      <x:c r="E357" s="54"/>
      <x:c r="F357" s="54"/>
      <x:c r="G357" s="54"/>
      <x:c r="H357" s="54"/>
      <x:c r="I357" s="54"/>
      <x:c r="J357" s="54"/>
      <x:c r="K357" s="54"/>
      <x:c r="L357" s="54"/>
      <x:c r="M357" s="54"/>
      <x:c r="N357" s="54"/>
      <x:c r="O357" s="57" t="str">
        <x:f>IF($C357="","",MAX(0,MIN(100,IFERROR(VLOOKUP($L357,'Lists &amp; Rules'!$P$5:$Q$8,2,FALSE),0)+IFERROR(VLOOKUP($N357,'Lists &amp; Rules'!$S$5:$T$7,2,FALSE),0)+IFERROR(VLOOKUP($M357,'Lists &amp; Rules'!$L$5:$N$13,3,FALSE),0)+IF($R357="Overdue",-10,IF($R357="Today",5,0))+MIN(15,$Z357*3))))</x:f>
      </x:c>
      <x:c r="P357" s="71" t="str">
        <x:f>IF($A357="","",IF(COUNTIF('Activity Log'!$C$6:$C$1005,$A357)=0,"",MAXIFS('Activity Log'!$B$6:$B$1005,'Activity Log'!$C$6:$C$1005,$A357)))</x:f>
      </x:c>
      <x:c r="Q357" s="71" t="str">
        <x:f>IF($A357="","",IF(COUNTIFS('Activity Log'!$C$6:$C$1005,$A357,'Activity Log'!$J$6:$J$1005,"No",'Activity Log'!$I$6:$I$1005,"&gt;0")=0,"",MINIFS('Activity Log'!$I$6:$I$1005,'Activity Log'!$C$6:$C$1005,$A357,'Activity Log'!$J$6:$J$1005,"No",'Activity Log'!$I$6:$I$1005,"&gt;0")))</x:f>
      </x:c>
      <x:c r="R357" s="57" t="str">
        <x:f>IF($C357="","",IF(OR($K357="Won",$K357="Lost",$K357="Disqualified"),"Closed",IF($Q357="","No date",IF(INT($Q357)&lt;TODAY(),"Overdue",IF(INT($Q357)=TODAY(),"Today",IF(INT($Q357)&lt;=TODAY()+7,"Next 7 days","Later"))))))</x:f>
      </x:c>
      <x:c r="S357" s="57" t="str">
        <x:f>IF(OR($C357="",$P357=""),"",TODAY()-INT($P357))</x:f>
      </x:c>
      <x:c r="T357" s="54"/>
      <x:c r="U357" s="54"/>
      <x:c r="V357" s="63"/>
      <x:c r="W357" s="74"/>
      <x:c r="X357" s="77" t="str">
        <x:f>IF($C357="","",IFERROR(VLOOKUP($M357,'Lists &amp; Rules'!$L$5:$N$13,2,FALSE),0))</x:f>
      </x:c>
      <x:c r="Y357" s="80" t="str">
        <x:f>IF(OR($C357="",$W357=""),"",ROUND($W357*$X357,0))</x:f>
      </x:c>
      <x:c r="Z357" s="57" t="str">
        <x:f>IF($A357="","",COUNTIF('Activity Log'!$C$6:$C$1005,$A357))</x:f>
      </x:c>
      <x:c r="AA357" s="68"/>
      <x:c r="AB357" s="63"/>
    </x:row>
    <x:row r="358">
      <x:c r="A358" s="54"/>
      <x:c r="B358" s="68"/>
      <x:c r="C358" s="54"/>
      <x:c r="D358" s="54"/>
      <x:c r="E358" s="54"/>
      <x:c r="F358" s="54"/>
      <x:c r="G358" s="54"/>
      <x:c r="H358" s="54"/>
      <x:c r="I358" s="54"/>
      <x:c r="J358" s="54"/>
      <x:c r="K358" s="54"/>
      <x:c r="L358" s="54"/>
      <x:c r="M358" s="54"/>
      <x:c r="N358" s="54"/>
      <x:c r="O358" s="57" t="str">
        <x:f>IF($C358="","",MAX(0,MIN(100,IFERROR(VLOOKUP($L358,'Lists &amp; Rules'!$P$5:$Q$8,2,FALSE),0)+IFERROR(VLOOKUP($N358,'Lists &amp; Rules'!$S$5:$T$7,2,FALSE),0)+IFERROR(VLOOKUP($M358,'Lists &amp; Rules'!$L$5:$N$13,3,FALSE),0)+IF($R358="Overdue",-10,IF($R358="Today",5,0))+MIN(15,$Z358*3))))</x:f>
      </x:c>
      <x:c r="P358" s="71" t="str">
        <x:f>IF($A358="","",IF(COUNTIF('Activity Log'!$C$6:$C$1005,$A358)=0,"",MAXIFS('Activity Log'!$B$6:$B$1005,'Activity Log'!$C$6:$C$1005,$A358)))</x:f>
      </x:c>
      <x:c r="Q358" s="71" t="str">
        <x:f>IF($A358="","",IF(COUNTIFS('Activity Log'!$C$6:$C$1005,$A358,'Activity Log'!$J$6:$J$1005,"No",'Activity Log'!$I$6:$I$1005,"&gt;0")=0,"",MINIFS('Activity Log'!$I$6:$I$1005,'Activity Log'!$C$6:$C$1005,$A358,'Activity Log'!$J$6:$J$1005,"No",'Activity Log'!$I$6:$I$1005,"&gt;0")))</x:f>
      </x:c>
      <x:c r="R358" s="57" t="str">
        <x:f>IF($C358="","",IF(OR($K358="Won",$K358="Lost",$K358="Disqualified"),"Closed",IF($Q358="","No date",IF(INT($Q358)&lt;TODAY(),"Overdue",IF(INT($Q358)=TODAY(),"Today",IF(INT($Q358)&lt;=TODAY()+7,"Next 7 days","Later"))))))</x:f>
      </x:c>
      <x:c r="S358" s="57" t="str">
        <x:f>IF(OR($C358="",$P358=""),"",TODAY()-INT($P358))</x:f>
      </x:c>
      <x:c r="T358" s="54"/>
      <x:c r="U358" s="54"/>
      <x:c r="V358" s="63"/>
      <x:c r="W358" s="74"/>
      <x:c r="X358" s="77" t="str">
        <x:f>IF($C358="","",IFERROR(VLOOKUP($M358,'Lists &amp; Rules'!$L$5:$N$13,2,FALSE),0))</x:f>
      </x:c>
      <x:c r="Y358" s="80" t="str">
        <x:f>IF(OR($C358="",$W358=""),"",ROUND($W358*$X358,0))</x:f>
      </x:c>
      <x:c r="Z358" s="57" t="str">
        <x:f>IF($A358="","",COUNTIF('Activity Log'!$C$6:$C$1005,$A358))</x:f>
      </x:c>
      <x:c r="AA358" s="68"/>
      <x:c r="AB358" s="63"/>
    </x:row>
    <x:row r="359">
      <x:c r="A359" s="54"/>
      <x:c r="B359" s="68"/>
      <x:c r="C359" s="54"/>
      <x:c r="D359" s="54"/>
      <x:c r="E359" s="54"/>
      <x:c r="F359" s="54"/>
      <x:c r="G359" s="54"/>
      <x:c r="H359" s="54"/>
      <x:c r="I359" s="54"/>
      <x:c r="J359" s="54"/>
      <x:c r="K359" s="54"/>
      <x:c r="L359" s="54"/>
      <x:c r="M359" s="54"/>
      <x:c r="N359" s="54"/>
      <x:c r="O359" s="57" t="str">
        <x:f>IF($C359="","",MAX(0,MIN(100,IFERROR(VLOOKUP($L359,'Lists &amp; Rules'!$P$5:$Q$8,2,FALSE),0)+IFERROR(VLOOKUP($N359,'Lists &amp; Rules'!$S$5:$T$7,2,FALSE),0)+IFERROR(VLOOKUP($M359,'Lists &amp; Rules'!$L$5:$N$13,3,FALSE),0)+IF($R359="Overdue",-10,IF($R359="Today",5,0))+MIN(15,$Z359*3))))</x:f>
      </x:c>
      <x:c r="P359" s="71" t="str">
        <x:f>IF($A359="","",IF(COUNTIF('Activity Log'!$C$6:$C$1005,$A359)=0,"",MAXIFS('Activity Log'!$B$6:$B$1005,'Activity Log'!$C$6:$C$1005,$A359)))</x:f>
      </x:c>
      <x:c r="Q359" s="71" t="str">
        <x:f>IF($A359="","",IF(COUNTIFS('Activity Log'!$C$6:$C$1005,$A359,'Activity Log'!$J$6:$J$1005,"No",'Activity Log'!$I$6:$I$1005,"&gt;0")=0,"",MINIFS('Activity Log'!$I$6:$I$1005,'Activity Log'!$C$6:$C$1005,$A359,'Activity Log'!$J$6:$J$1005,"No",'Activity Log'!$I$6:$I$1005,"&gt;0")))</x:f>
      </x:c>
      <x:c r="R359" s="57" t="str">
        <x:f>IF($C359="","",IF(OR($K359="Won",$K359="Lost",$K359="Disqualified"),"Closed",IF($Q359="","No date",IF(INT($Q359)&lt;TODAY(),"Overdue",IF(INT($Q359)=TODAY(),"Today",IF(INT($Q359)&lt;=TODAY()+7,"Next 7 days","Later"))))))</x:f>
      </x:c>
      <x:c r="S359" s="57" t="str">
        <x:f>IF(OR($C359="",$P359=""),"",TODAY()-INT($P359))</x:f>
      </x:c>
      <x:c r="T359" s="54"/>
      <x:c r="U359" s="54"/>
      <x:c r="V359" s="63"/>
      <x:c r="W359" s="74"/>
      <x:c r="X359" s="77" t="str">
        <x:f>IF($C359="","",IFERROR(VLOOKUP($M359,'Lists &amp; Rules'!$L$5:$N$13,2,FALSE),0))</x:f>
      </x:c>
      <x:c r="Y359" s="80" t="str">
        <x:f>IF(OR($C359="",$W359=""),"",ROUND($W359*$X359,0))</x:f>
      </x:c>
      <x:c r="Z359" s="57" t="str">
        <x:f>IF($A359="","",COUNTIF('Activity Log'!$C$6:$C$1005,$A359))</x:f>
      </x:c>
      <x:c r="AA359" s="68"/>
      <x:c r="AB359" s="63"/>
    </x:row>
    <x:row r="360">
      <x:c r="A360" s="54"/>
      <x:c r="B360" s="68"/>
      <x:c r="C360" s="54"/>
      <x:c r="D360" s="54"/>
      <x:c r="E360" s="54"/>
      <x:c r="F360" s="54"/>
      <x:c r="G360" s="54"/>
      <x:c r="H360" s="54"/>
      <x:c r="I360" s="54"/>
      <x:c r="J360" s="54"/>
      <x:c r="K360" s="54"/>
      <x:c r="L360" s="54"/>
      <x:c r="M360" s="54"/>
      <x:c r="N360" s="54"/>
      <x:c r="O360" s="57" t="str">
        <x:f>IF($C360="","",MAX(0,MIN(100,IFERROR(VLOOKUP($L360,'Lists &amp; Rules'!$P$5:$Q$8,2,FALSE),0)+IFERROR(VLOOKUP($N360,'Lists &amp; Rules'!$S$5:$T$7,2,FALSE),0)+IFERROR(VLOOKUP($M360,'Lists &amp; Rules'!$L$5:$N$13,3,FALSE),0)+IF($R360="Overdue",-10,IF($R360="Today",5,0))+MIN(15,$Z360*3))))</x:f>
      </x:c>
      <x:c r="P360" s="71" t="str">
        <x:f>IF($A360="","",IF(COUNTIF('Activity Log'!$C$6:$C$1005,$A360)=0,"",MAXIFS('Activity Log'!$B$6:$B$1005,'Activity Log'!$C$6:$C$1005,$A360)))</x:f>
      </x:c>
      <x:c r="Q360" s="71" t="str">
        <x:f>IF($A360="","",IF(COUNTIFS('Activity Log'!$C$6:$C$1005,$A360,'Activity Log'!$J$6:$J$1005,"No",'Activity Log'!$I$6:$I$1005,"&gt;0")=0,"",MINIFS('Activity Log'!$I$6:$I$1005,'Activity Log'!$C$6:$C$1005,$A360,'Activity Log'!$J$6:$J$1005,"No",'Activity Log'!$I$6:$I$1005,"&gt;0")))</x:f>
      </x:c>
      <x:c r="R360" s="57" t="str">
        <x:f>IF($C360="","",IF(OR($K360="Won",$K360="Lost",$K360="Disqualified"),"Closed",IF($Q360="","No date",IF(INT($Q360)&lt;TODAY(),"Overdue",IF(INT($Q360)=TODAY(),"Today",IF(INT($Q360)&lt;=TODAY()+7,"Next 7 days","Later"))))))</x:f>
      </x:c>
      <x:c r="S360" s="57" t="str">
        <x:f>IF(OR($C360="",$P360=""),"",TODAY()-INT($P360))</x:f>
      </x:c>
      <x:c r="T360" s="54"/>
      <x:c r="U360" s="54"/>
      <x:c r="V360" s="63"/>
      <x:c r="W360" s="74"/>
      <x:c r="X360" s="77" t="str">
        <x:f>IF($C360="","",IFERROR(VLOOKUP($M360,'Lists &amp; Rules'!$L$5:$N$13,2,FALSE),0))</x:f>
      </x:c>
      <x:c r="Y360" s="80" t="str">
        <x:f>IF(OR($C360="",$W360=""),"",ROUND($W360*$X360,0))</x:f>
      </x:c>
      <x:c r="Z360" s="57" t="str">
        <x:f>IF($A360="","",COUNTIF('Activity Log'!$C$6:$C$1005,$A360))</x:f>
      </x:c>
      <x:c r="AA360" s="68"/>
      <x:c r="AB360" s="63"/>
    </x:row>
    <x:row r="361">
      <x:c r="A361" s="54"/>
      <x:c r="B361" s="68"/>
      <x:c r="C361" s="54"/>
      <x:c r="D361" s="54"/>
      <x:c r="E361" s="54"/>
      <x:c r="F361" s="54"/>
      <x:c r="G361" s="54"/>
      <x:c r="H361" s="54"/>
      <x:c r="I361" s="54"/>
      <x:c r="J361" s="54"/>
      <x:c r="K361" s="54"/>
      <x:c r="L361" s="54"/>
      <x:c r="M361" s="54"/>
      <x:c r="N361" s="54"/>
      <x:c r="O361" s="57" t="str">
        <x:f>IF($C361="","",MAX(0,MIN(100,IFERROR(VLOOKUP($L361,'Lists &amp; Rules'!$P$5:$Q$8,2,FALSE),0)+IFERROR(VLOOKUP($N361,'Lists &amp; Rules'!$S$5:$T$7,2,FALSE),0)+IFERROR(VLOOKUP($M361,'Lists &amp; Rules'!$L$5:$N$13,3,FALSE),0)+IF($R361="Overdue",-10,IF($R361="Today",5,0))+MIN(15,$Z361*3))))</x:f>
      </x:c>
      <x:c r="P361" s="71" t="str">
        <x:f>IF($A361="","",IF(COUNTIF('Activity Log'!$C$6:$C$1005,$A361)=0,"",MAXIFS('Activity Log'!$B$6:$B$1005,'Activity Log'!$C$6:$C$1005,$A361)))</x:f>
      </x:c>
      <x:c r="Q361" s="71" t="str">
        <x:f>IF($A361="","",IF(COUNTIFS('Activity Log'!$C$6:$C$1005,$A361,'Activity Log'!$J$6:$J$1005,"No",'Activity Log'!$I$6:$I$1005,"&gt;0")=0,"",MINIFS('Activity Log'!$I$6:$I$1005,'Activity Log'!$C$6:$C$1005,$A361,'Activity Log'!$J$6:$J$1005,"No",'Activity Log'!$I$6:$I$1005,"&gt;0")))</x:f>
      </x:c>
      <x:c r="R361" s="57" t="str">
        <x:f>IF($C361="","",IF(OR($K361="Won",$K361="Lost",$K361="Disqualified"),"Closed",IF($Q361="","No date",IF(INT($Q361)&lt;TODAY(),"Overdue",IF(INT($Q361)=TODAY(),"Today",IF(INT($Q361)&lt;=TODAY()+7,"Next 7 days","Later"))))))</x:f>
      </x:c>
      <x:c r="S361" s="57" t="str">
        <x:f>IF(OR($C361="",$P361=""),"",TODAY()-INT($P361))</x:f>
      </x:c>
      <x:c r="T361" s="54"/>
      <x:c r="U361" s="54"/>
      <x:c r="V361" s="63"/>
      <x:c r="W361" s="74"/>
      <x:c r="X361" s="77" t="str">
        <x:f>IF($C361="","",IFERROR(VLOOKUP($M361,'Lists &amp; Rules'!$L$5:$N$13,2,FALSE),0))</x:f>
      </x:c>
      <x:c r="Y361" s="80" t="str">
        <x:f>IF(OR($C361="",$W361=""),"",ROUND($W361*$X361,0))</x:f>
      </x:c>
      <x:c r="Z361" s="57" t="str">
        <x:f>IF($A361="","",COUNTIF('Activity Log'!$C$6:$C$1005,$A361))</x:f>
      </x:c>
      <x:c r="AA361" s="68"/>
      <x:c r="AB361" s="63"/>
    </x:row>
    <x:row r="362">
      <x:c r="A362" s="54"/>
      <x:c r="B362" s="68"/>
      <x:c r="C362" s="54"/>
      <x:c r="D362" s="54"/>
      <x:c r="E362" s="54"/>
      <x:c r="F362" s="54"/>
      <x:c r="G362" s="54"/>
      <x:c r="H362" s="54"/>
      <x:c r="I362" s="54"/>
      <x:c r="J362" s="54"/>
      <x:c r="K362" s="54"/>
      <x:c r="L362" s="54"/>
      <x:c r="M362" s="54"/>
      <x:c r="N362" s="54"/>
      <x:c r="O362" s="57" t="str">
        <x:f>IF($C362="","",MAX(0,MIN(100,IFERROR(VLOOKUP($L362,'Lists &amp; Rules'!$P$5:$Q$8,2,FALSE),0)+IFERROR(VLOOKUP($N362,'Lists &amp; Rules'!$S$5:$T$7,2,FALSE),0)+IFERROR(VLOOKUP($M362,'Lists &amp; Rules'!$L$5:$N$13,3,FALSE),0)+IF($R362="Overdue",-10,IF($R362="Today",5,0))+MIN(15,$Z362*3))))</x:f>
      </x:c>
      <x:c r="P362" s="71" t="str">
        <x:f>IF($A362="","",IF(COUNTIF('Activity Log'!$C$6:$C$1005,$A362)=0,"",MAXIFS('Activity Log'!$B$6:$B$1005,'Activity Log'!$C$6:$C$1005,$A362)))</x:f>
      </x:c>
      <x:c r="Q362" s="71" t="str">
        <x:f>IF($A362="","",IF(COUNTIFS('Activity Log'!$C$6:$C$1005,$A362,'Activity Log'!$J$6:$J$1005,"No",'Activity Log'!$I$6:$I$1005,"&gt;0")=0,"",MINIFS('Activity Log'!$I$6:$I$1005,'Activity Log'!$C$6:$C$1005,$A362,'Activity Log'!$J$6:$J$1005,"No",'Activity Log'!$I$6:$I$1005,"&gt;0")))</x:f>
      </x:c>
      <x:c r="R362" s="57" t="str">
        <x:f>IF($C362="","",IF(OR($K362="Won",$K362="Lost",$K362="Disqualified"),"Closed",IF($Q362="","No date",IF(INT($Q362)&lt;TODAY(),"Overdue",IF(INT($Q362)=TODAY(),"Today",IF(INT($Q362)&lt;=TODAY()+7,"Next 7 days","Later"))))))</x:f>
      </x:c>
      <x:c r="S362" s="57" t="str">
        <x:f>IF(OR($C362="",$P362=""),"",TODAY()-INT($P362))</x:f>
      </x:c>
      <x:c r="T362" s="54"/>
      <x:c r="U362" s="54"/>
      <x:c r="V362" s="63"/>
      <x:c r="W362" s="74"/>
      <x:c r="X362" s="77" t="str">
        <x:f>IF($C362="","",IFERROR(VLOOKUP($M362,'Lists &amp; Rules'!$L$5:$N$13,2,FALSE),0))</x:f>
      </x:c>
      <x:c r="Y362" s="80" t="str">
        <x:f>IF(OR($C362="",$W362=""),"",ROUND($W362*$X362,0))</x:f>
      </x:c>
      <x:c r="Z362" s="57" t="str">
        <x:f>IF($A362="","",COUNTIF('Activity Log'!$C$6:$C$1005,$A362))</x:f>
      </x:c>
      <x:c r="AA362" s="68"/>
      <x:c r="AB362" s="63"/>
    </x:row>
    <x:row r="363">
      <x:c r="A363" s="54"/>
      <x:c r="B363" s="68"/>
      <x:c r="C363" s="54"/>
      <x:c r="D363" s="54"/>
      <x:c r="E363" s="54"/>
      <x:c r="F363" s="54"/>
      <x:c r="G363" s="54"/>
      <x:c r="H363" s="54"/>
      <x:c r="I363" s="54"/>
      <x:c r="J363" s="54"/>
      <x:c r="K363" s="54"/>
      <x:c r="L363" s="54"/>
      <x:c r="M363" s="54"/>
      <x:c r="N363" s="54"/>
      <x:c r="O363" s="57" t="str">
        <x:f>IF($C363="","",MAX(0,MIN(100,IFERROR(VLOOKUP($L363,'Lists &amp; Rules'!$P$5:$Q$8,2,FALSE),0)+IFERROR(VLOOKUP($N363,'Lists &amp; Rules'!$S$5:$T$7,2,FALSE),0)+IFERROR(VLOOKUP($M363,'Lists &amp; Rules'!$L$5:$N$13,3,FALSE),0)+IF($R363="Overdue",-10,IF($R363="Today",5,0))+MIN(15,$Z363*3))))</x:f>
      </x:c>
      <x:c r="P363" s="71" t="str">
        <x:f>IF($A363="","",IF(COUNTIF('Activity Log'!$C$6:$C$1005,$A363)=0,"",MAXIFS('Activity Log'!$B$6:$B$1005,'Activity Log'!$C$6:$C$1005,$A363)))</x:f>
      </x:c>
      <x:c r="Q363" s="71" t="str">
        <x:f>IF($A363="","",IF(COUNTIFS('Activity Log'!$C$6:$C$1005,$A363,'Activity Log'!$J$6:$J$1005,"No",'Activity Log'!$I$6:$I$1005,"&gt;0")=0,"",MINIFS('Activity Log'!$I$6:$I$1005,'Activity Log'!$C$6:$C$1005,$A363,'Activity Log'!$J$6:$J$1005,"No",'Activity Log'!$I$6:$I$1005,"&gt;0")))</x:f>
      </x:c>
      <x:c r="R363" s="57" t="str">
        <x:f>IF($C363="","",IF(OR($K363="Won",$K363="Lost",$K363="Disqualified"),"Closed",IF($Q363="","No date",IF(INT($Q363)&lt;TODAY(),"Overdue",IF(INT($Q363)=TODAY(),"Today",IF(INT($Q363)&lt;=TODAY()+7,"Next 7 days","Later"))))))</x:f>
      </x:c>
      <x:c r="S363" s="57" t="str">
        <x:f>IF(OR($C363="",$P363=""),"",TODAY()-INT($P363))</x:f>
      </x:c>
      <x:c r="T363" s="54"/>
      <x:c r="U363" s="54"/>
      <x:c r="V363" s="63"/>
      <x:c r="W363" s="74"/>
      <x:c r="X363" s="77" t="str">
        <x:f>IF($C363="","",IFERROR(VLOOKUP($M363,'Lists &amp; Rules'!$L$5:$N$13,2,FALSE),0))</x:f>
      </x:c>
      <x:c r="Y363" s="80" t="str">
        <x:f>IF(OR($C363="",$W363=""),"",ROUND($W363*$X363,0))</x:f>
      </x:c>
      <x:c r="Z363" s="57" t="str">
        <x:f>IF($A363="","",COUNTIF('Activity Log'!$C$6:$C$1005,$A363))</x:f>
      </x:c>
      <x:c r="AA363" s="68"/>
      <x:c r="AB363" s="63"/>
    </x:row>
    <x:row r="364">
      <x:c r="A364" s="54"/>
      <x:c r="B364" s="68"/>
      <x:c r="C364" s="54"/>
      <x:c r="D364" s="54"/>
      <x:c r="E364" s="54"/>
      <x:c r="F364" s="54"/>
      <x:c r="G364" s="54"/>
      <x:c r="H364" s="54"/>
      <x:c r="I364" s="54"/>
      <x:c r="J364" s="54"/>
      <x:c r="K364" s="54"/>
      <x:c r="L364" s="54"/>
      <x:c r="M364" s="54"/>
      <x:c r="N364" s="54"/>
      <x:c r="O364" s="57" t="str">
        <x:f>IF($C364="","",MAX(0,MIN(100,IFERROR(VLOOKUP($L364,'Lists &amp; Rules'!$P$5:$Q$8,2,FALSE),0)+IFERROR(VLOOKUP($N364,'Lists &amp; Rules'!$S$5:$T$7,2,FALSE),0)+IFERROR(VLOOKUP($M364,'Lists &amp; Rules'!$L$5:$N$13,3,FALSE),0)+IF($R364="Overdue",-10,IF($R364="Today",5,0))+MIN(15,$Z364*3))))</x:f>
      </x:c>
      <x:c r="P364" s="71" t="str">
        <x:f>IF($A364="","",IF(COUNTIF('Activity Log'!$C$6:$C$1005,$A364)=0,"",MAXIFS('Activity Log'!$B$6:$B$1005,'Activity Log'!$C$6:$C$1005,$A364)))</x:f>
      </x:c>
      <x:c r="Q364" s="71" t="str">
        <x:f>IF($A364="","",IF(COUNTIFS('Activity Log'!$C$6:$C$1005,$A364,'Activity Log'!$J$6:$J$1005,"No",'Activity Log'!$I$6:$I$1005,"&gt;0")=0,"",MINIFS('Activity Log'!$I$6:$I$1005,'Activity Log'!$C$6:$C$1005,$A364,'Activity Log'!$J$6:$J$1005,"No",'Activity Log'!$I$6:$I$1005,"&gt;0")))</x:f>
      </x:c>
      <x:c r="R364" s="57" t="str">
        <x:f>IF($C364="","",IF(OR($K364="Won",$K364="Lost",$K364="Disqualified"),"Closed",IF($Q364="","No date",IF(INT($Q364)&lt;TODAY(),"Overdue",IF(INT($Q364)=TODAY(),"Today",IF(INT($Q364)&lt;=TODAY()+7,"Next 7 days","Later"))))))</x:f>
      </x:c>
      <x:c r="S364" s="57" t="str">
        <x:f>IF(OR($C364="",$P364=""),"",TODAY()-INT($P364))</x:f>
      </x:c>
      <x:c r="T364" s="54"/>
      <x:c r="U364" s="54"/>
      <x:c r="V364" s="63"/>
      <x:c r="W364" s="74"/>
      <x:c r="X364" s="77" t="str">
        <x:f>IF($C364="","",IFERROR(VLOOKUP($M364,'Lists &amp; Rules'!$L$5:$N$13,2,FALSE),0))</x:f>
      </x:c>
      <x:c r="Y364" s="80" t="str">
        <x:f>IF(OR($C364="",$W364=""),"",ROUND($W364*$X364,0))</x:f>
      </x:c>
      <x:c r="Z364" s="57" t="str">
        <x:f>IF($A364="","",COUNTIF('Activity Log'!$C$6:$C$1005,$A364))</x:f>
      </x:c>
      <x:c r="AA364" s="68"/>
      <x:c r="AB364" s="63"/>
    </x:row>
    <x:row r="365">
      <x:c r="A365" s="54"/>
      <x:c r="B365" s="68"/>
      <x:c r="C365" s="54"/>
      <x:c r="D365" s="54"/>
      <x:c r="E365" s="54"/>
      <x:c r="F365" s="54"/>
      <x:c r="G365" s="54"/>
      <x:c r="H365" s="54"/>
      <x:c r="I365" s="54"/>
      <x:c r="J365" s="54"/>
      <x:c r="K365" s="54"/>
      <x:c r="L365" s="54"/>
      <x:c r="M365" s="54"/>
      <x:c r="N365" s="54"/>
      <x:c r="O365" s="57" t="str">
        <x:f>IF($C365="","",MAX(0,MIN(100,IFERROR(VLOOKUP($L365,'Lists &amp; Rules'!$P$5:$Q$8,2,FALSE),0)+IFERROR(VLOOKUP($N365,'Lists &amp; Rules'!$S$5:$T$7,2,FALSE),0)+IFERROR(VLOOKUP($M365,'Lists &amp; Rules'!$L$5:$N$13,3,FALSE),0)+IF($R365="Overdue",-10,IF($R365="Today",5,0))+MIN(15,$Z365*3))))</x:f>
      </x:c>
      <x:c r="P365" s="71" t="str">
        <x:f>IF($A365="","",IF(COUNTIF('Activity Log'!$C$6:$C$1005,$A365)=0,"",MAXIFS('Activity Log'!$B$6:$B$1005,'Activity Log'!$C$6:$C$1005,$A365)))</x:f>
      </x:c>
      <x:c r="Q365" s="71" t="str">
        <x:f>IF($A365="","",IF(COUNTIFS('Activity Log'!$C$6:$C$1005,$A365,'Activity Log'!$J$6:$J$1005,"No",'Activity Log'!$I$6:$I$1005,"&gt;0")=0,"",MINIFS('Activity Log'!$I$6:$I$1005,'Activity Log'!$C$6:$C$1005,$A365,'Activity Log'!$J$6:$J$1005,"No",'Activity Log'!$I$6:$I$1005,"&gt;0")))</x:f>
      </x:c>
      <x:c r="R365" s="57" t="str">
        <x:f>IF($C365="","",IF(OR($K365="Won",$K365="Lost",$K365="Disqualified"),"Closed",IF($Q365="","No date",IF(INT($Q365)&lt;TODAY(),"Overdue",IF(INT($Q365)=TODAY(),"Today",IF(INT($Q365)&lt;=TODAY()+7,"Next 7 days","Later"))))))</x:f>
      </x:c>
      <x:c r="S365" s="57" t="str">
        <x:f>IF(OR($C365="",$P365=""),"",TODAY()-INT($P365))</x:f>
      </x:c>
      <x:c r="T365" s="54"/>
      <x:c r="U365" s="54"/>
      <x:c r="V365" s="63"/>
      <x:c r="W365" s="74"/>
      <x:c r="X365" s="77" t="str">
        <x:f>IF($C365="","",IFERROR(VLOOKUP($M365,'Lists &amp; Rules'!$L$5:$N$13,2,FALSE),0))</x:f>
      </x:c>
      <x:c r="Y365" s="80" t="str">
        <x:f>IF(OR($C365="",$W365=""),"",ROUND($W365*$X365,0))</x:f>
      </x:c>
      <x:c r="Z365" s="57" t="str">
        <x:f>IF($A365="","",COUNTIF('Activity Log'!$C$6:$C$1005,$A365))</x:f>
      </x:c>
      <x:c r="AA365" s="68"/>
      <x:c r="AB365" s="63"/>
    </x:row>
    <x:row r="366">
      <x:c r="A366" s="54"/>
      <x:c r="B366" s="68"/>
      <x:c r="C366" s="54"/>
      <x:c r="D366" s="54"/>
      <x:c r="E366" s="54"/>
      <x:c r="F366" s="54"/>
      <x:c r="G366" s="54"/>
      <x:c r="H366" s="54"/>
      <x:c r="I366" s="54"/>
      <x:c r="J366" s="54"/>
      <x:c r="K366" s="54"/>
      <x:c r="L366" s="54"/>
      <x:c r="M366" s="54"/>
      <x:c r="N366" s="54"/>
      <x:c r="O366" s="57" t="str">
        <x:f>IF($C366="","",MAX(0,MIN(100,IFERROR(VLOOKUP($L366,'Lists &amp; Rules'!$P$5:$Q$8,2,FALSE),0)+IFERROR(VLOOKUP($N366,'Lists &amp; Rules'!$S$5:$T$7,2,FALSE),0)+IFERROR(VLOOKUP($M366,'Lists &amp; Rules'!$L$5:$N$13,3,FALSE),0)+IF($R366="Overdue",-10,IF($R366="Today",5,0))+MIN(15,$Z366*3))))</x:f>
      </x:c>
      <x:c r="P366" s="71" t="str">
        <x:f>IF($A366="","",IF(COUNTIF('Activity Log'!$C$6:$C$1005,$A366)=0,"",MAXIFS('Activity Log'!$B$6:$B$1005,'Activity Log'!$C$6:$C$1005,$A366)))</x:f>
      </x:c>
      <x:c r="Q366" s="71" t="str">
        <x:f>IF($A366="","",IF(COUNTIFS('Activity Log'!$C$6:$C$1005,$A366,'Activity Log'!$J$6:$J$1005,"No",'Activity Log'!$I$6:$I$1005,"&gt;0")=0,"",MINIFS('Activity Log'!$I$6:$I$1005,'Activity Log'!$C$6:$C$1005,$A366,'Activity Log'!$J$6:$J$1005,"No",'Activity Log'!$I$6:$I$1005,"&gt;0")))</x:f>
      </x:c>
      <x:c r="R366" s="57" t="str">
        <x:f>IF($C366="","",IF(OR($K366="Won",$K366="Lost",$K366="Disqualified"),"Closed",IF($Q366="","No date",IF(INT($Q366)&lt;TODAY(),"Overdue",IF(INT($Q366)=TODAY(),"Today",IF(INT($Q366)&lt;=TODAY()+7,"Next 7 days","Later"))))))</x:f>
      </x:c>
      <x:c r="S366" s="57" t="str">
        <x:f>IF(OR($C366="",$P366=""),"",TODAY()-INT($P366))</x:f>
      </x:c>
      <x:c r="T366" s="54"/>
      <x:c r="U366" s="54"/>
      <x:c r="V366" s="63"/>
      <x:c r="W366" s="74"/>
      <x:c r="X366" s="77" t="str">
        <x:f>IF($C366="","",IFERROR(VLOOKUP($M366,'Lists &amp; Rules'!$L$5:$N$13,2,FALSE),0))</x:f>
      </x:c>
      <x:c r="Y366" s="80" t="str">
        <x:f>IF(OR($C366="",$W366=""),"",ROUND($W366*$X366,0))</x:f>
      </x:c>
      <x:c r="Z366" s="57" t="str">
        <x:f>IF($A366="","",COUNTIF('Activity Log'!$C$6:$C$1005,$A366))</x:f>
      </x:c>
      <x:c r="AA366" s="68"/>
      <x:c r="AB366" s="63"/>
    </x:row>
    <x:row r="367">
      <x:c r="A367" s="54"/>
      <x:c r="B367" s="68"/>
      <x:c r="C367" s="54"/>
      <x:c r="D367" s="54"/>
      <x:c r="E367" s="54"/>
      <x:c r="F367" s="54"/>
      <x:c r="G367" s="54"/>
      <x:c r="H367" s="54"/>
      <x:c r="I367" s="54"/>
      <x:c r="J367" s="54"/>
      <x:c r="K367" s="54"/>
      <x:c r="L367" s="54"/>
      <x:c r="M367" s="54"/>
      <x:c r="N367" s="54"/>
      <x:c r="O367" s="57" t="str">
        <x:f>IF($C367="","",MAX(0,MIN(100,IFERROR(VLOOKUP($L367,'Lists &amp; Rules'!$P$5:$Q$8,2,FALSE),0)+IFERROR(VLOOKUP($N367,'Lists &amp; Rules'!$S$5:$T$7,2,FALSE),0)+IFERROR(VLOOKUP($M367,'Lists &amp; Rules'!$L$5:$N$13,3,FALSE),0)+IF($R367="Overdue",-10,IF($R367="Today",5,0))+MIN(15,$Z367*3))))</x:f>
      </x:c>
      <x:c r="P367" s="71" t="str">
        <x:f>IF($A367="","",IF(COUNTIF('Activity Log'!$C$6:$C$1005,$A367)=0,"",MAXIFS('Activity Log'!$B$6:$B$1005,'Activity Log'!$C$6:$C$1005,$A367)))</x:f>
      </x:c>
      <x:c r="Q367" s="71" t="str">
        <x:f>IF($A367="","",IF(COUNTIFS('Activity Log'!$C$6:$C$1005,$A367,'Activity Log'!$J$6:$J$1005,"No",'Activity Log'!$I$6:$I$1005,"&gt;0")=0,"",MINIFS('Activity Log'!$I$6:$I$1005,'Activity Log'!$C$6:$C$1005,$A367,'Activity Log'!$J$6:$J$1005,"No",'Activity Log'!$I$6:$I$1005,"&gt;0")))</x:f>
      </x:c>
      <x:c r="R367" s="57" t="str">
        <x:f>IF($C367="","",IF(OR($K367="Won",$K367="Lost",$K367="Disqualified"),"Closed",IF($Q367="","No date",IF(INT($Q367)&lt;TODAY(),"Overdue",IF(INT($Q367)=TODAY(),"Today",IF(INT($Q367)&lt;=TODAY()+7,"Next 7 days","Later"))))))</x:f>
      </x:c>
      <x:c r="S367" s="57" t="str">
        <x:f>IF(OR($C367="",$P367=""),"",TODAY()-INT($P367))</x:f>
      </x:c>
      <x:c r="T367" s="54"/>
      <x:c r="U367" s="54"/>
      <x:c r="V367" s="63"/>
      <x:c r="W367" s="74"/>
      <x:c r="X367" s="77" t="str">
        <x:f>IF($C367="","",IFERROR(VLOOKUP($M367,'Lists &amp; Rules'!$L$5:$N$13,2,FALSE),0))</x:f>
      </x:c>
      <x:c r="Y367" s="80" t="str">
        <x:f>IF(OR($C367="",$W367=""),"",ROUND($W367*$X367,0))</x:f>
      </x:c>
      <x:c r="Z367" s="57" t="str">
        <x:f>IF($A367="","",COUNTIF('Activity Log'!$C$6:$C$1005,$A367))</x:f>
      </x:c>
      <x:c r="AA367" s="68"/>
      <x:c r="AB367" s="63"/>
    </x:row>
    <x:row r="368">
      <x:c r="A368" s="54"/>
      <x:c r="B368" s="68"/>
      <x:c r="C368" s="54"/>
      <x:c r="D368" s="54"/>
      <x:c r="E368" s="54"/>
      <x:c r="F368" s="54"/>
      <x:c r="G368" s="54"/>
      <x:c r="H368" s="54"/>
      <x:c r="I368" s="54"/>
      <x:c r="J368" s="54"/>
      <x:c r="K368" s="54"/>
      <x:c r="L368" s="54"/>
      <x:c r="M368" s="54"/>
      <x:c r="N368" s="54"/>
      <x:c r="O368" s="57" t="str">
        <x:f>IF($C368="","",MAX(0,MIN(100,IFERROR(VLOOKUP($L368,'Lists &amp; Rules'!$P$5:$Q$8,2,FALSE),0)+IFERROR(VLOOKUP($N368,'Lists &amp; Rules'!$S$5:$T$7,2,FALSE),0)+IFERROR(VLOOKUP($M368,'Lists &amp; Rules'!$L$5:$N$13,3,FALSE),0)+IF($R368="Overdue",-10,IF($R368="Today",5,0))+MIN(15,$Z368*3))))</x:f>
      </x:c>
      <x:c r="P368" s="71" t="str">
        <x:f>IF($A368="","",IF(COUNTIF('Activity Log'!$C$6:$C$1005,$A368)=0,"",MAXIFS('Activity Log'!$B$6:$B$1005,'Activity Log'!$C$6:$C$1005,$A368)))</x:f>
      </x:c>
      <x:c r="Q368" s="71" t="str">
        <x:f>IF($A368="","",IF(COUNTIFS('Activity Log'!$C$6:$C$1005,$A368,'Activity Log'!$J$6:$J$1005,"No",'Activity Log'!$I$6:$I$1005,"&gt;0")=0,"",MINIFS('Activity Log'!$I$6:$I$1005,'Activity Log'!$C$6:$C$1005,$A368,'Activity Log'!$J$6:$J$1005,"No",'Activity Log'!$I$6:$I$1005,"&gt;0")))</x:f>
      </x:c>
      <x:c r="R368" s="57" t="str">
        <x:f>IF($C368="","",IF(OR($K368="Won",$K368="Lost",$K368="Disqualified"),"Closed",IF($Q368="","No date",IF(INT($Q368)&lt;TODAY(),"Overdue",IF(INT($Q368)=TODAY(),"Today",IF(INT($Q368)&lt;=TODAY()+7,"Next 7 days","Later"))))))</x:f>
      </x:c>
      <x:c r="S368" s="57" t="str">
        <x:f>IF(OR($C368="",$P368=""),"",TODAY()-INT($P368))</x:f>
      </x:c>
      <x:c r="T368" s="54"/>
      <x:c r="U368" s="54"/>
      <x:c r="V368" s="63"/>
      <x:c r="W368" s="74"/>
      <x:c r="X368" s="77" t="str">
        <x:f>IF($C368="","",IFERROR(VLOOKUP($M368,'Lists &amp; Rules'!$L$5:$N$13,2,FALSE),0))</x:f>
      </x:c>
      <x:c r="Y368" s="80" t="str">
        <x:f>IF(OR($C368="",$W368=""),"",ROUND($W368*$X368,0))</x:f>
      </x:c>
      <x:c r="Z368" s="57" t="str">
        <x:f>IF($A368="","",COUNTIF('Activity Log'!$C$6:$C$1005,$A368))</x:f>
      </x:c>
      <x:c r="AA368" s="68"/>
      <x:c r="AB368" s="63"/>
    </x:row>
    <x:row r="369">
      <x:c r="A369" s="54"/>
      <x:c r="B369" s="68"/>
      <x:c r="C369" s="54"/>
      <x:c r="D369" s="54"/>
      <x:c r="E369" s="54"/>
      <x:c r="F369" s="54"/>
      <x:c r="G369" s="54"/>
      <x:c r="H369" s="54"/>
      <x:c r="I369" s="54"/>
      <x:c r="J369" s="54"/>
      <x:c r="K369" s="54"/>
      <x:c r="L369" s="54"/>
      <x:c r="M369" s="54"/>
      <x:c r="N369" s="54"/>
      <x:c r="O369" s="57" t="str">
        <x:f>IF($C369="","",MAX(0,MIN(100,IFERROR(VLOOKUP($L369,'Lists &amp; Rules'!$P$5:$Q$8,2,FALSE),0)+IFERROR(VLOOKUP($N369,'Lists &amp; Rules'!$S$5:$T$7,2,FALSE),0)+IFERROR(VLOOKUP($M369,'Lists &amp; Rules'!$L$5:$N$13,3,FALSE),0)+IF($R369="Overdue",-10,IF($R369="Today",5,0))+MIN(15,$Z369*3))))</x:f>
      </x:c>
      <x:c r="P369" s="71" t="str">
        <x:f>IF($A369="","",IF(COUNTIF('Activity Log'!$C$6:$C$1005,$A369)=0,"",MAXIFS('Activity Log'!$B$6:$B$1005,'Activity Log'!$C$6:$C$1005,$A369)))</x:f>
      </x:c>
      <x:c r="Q369" s="71" t="str">
        <x:f>IF($A369="","",IF(COUNTIFS('Activity Log'!$C$6:$C$1005,$A369,'Activity Log'!$J$6:$J$1005,"No",'Activity Log'!$I$6:$I$1005,"&gt;0")=0,"",MINIFS('Activity Log'!$I$6:$I$1005,'Activity Log'!$C$6:$C$1005,$A369,'Activity Log'!$J$6:$J$1005,"No",'Activity Log'!$I$6:$I$1005,"&gt;0")))</x:f>
      </x:c>
      <x:c r="R369" s="57" t="str">
        <x:f>IF($C369="","",IF(OR($K369="Won",$K369="Lost",$K369="Disqualified"),"Closed",IF($Q369="","No date",IF(INT($Q369)&lt;TODAY(),"Overdue",IF(INT($Q369)=TODAY(),"Today",IF(INT($Q369)&lt;=TODAY()+7,"Next 7 days","Later"))))))</x:f>
      </x:c>
      <x:c r="S369" s="57" t="str">
        <x:f>IF(OR($C369="",$P369=""),"",TODAY()-INT($P369))</x:f>
      </x:c>
      <x:c r="T369" s="54"/>
      <x:c r="U369" s="54"/>
      <x:c r="V369" s="63"/>
      <x:c r="W369" s="74"/>
      <x:c r="X369" s="77" t="str">
        <x:f>IF($C369="","",IFERROR(VLOOKUP($M369,'Lists &amp; Rules'!$L$5:$N$13,2,FALSE),0))</x:f>
      </x:c>
      <x:c r="Y369" s="80" t="str">
        <x:f>IF(OR($C369="",$W369=""),"",ROUND($W369*$X369,0))</x:f>
      </x:c>
      <x:c r="Z369" s="57" t="str">
        <x:f>IF($A369="","",COUNTIF('Activity Log'!$C$6:$C$1005,$A369))</x:f>
      </x:c>
      <x:c r="AA369" s="68"/>
      <x:c r="AB369" s="63"/>
    </x:row>
    <x:row r="370">
      <x:c r="A370" s="54"/>
      <x:c r="B370" s="68"/>
      <x:c r="C370" s="54"/>
      <x:c r="D370" s="54"/>
      <x:c r="E370" s="54"/>
      <x:c r="F370" s="54"/>
      <x:c r="G370" s="54"/>
      <x:c r="H370" s="54"/>
      <x:c r="I370" s="54"/>
      <x:c r="J370" s="54"/>
      <x:c r="K370" s="54"/>
      <x:c r="L370" s="54"/>
      <x:c r="M370" s="54"/>
      <x:c r="N370" s="54"/>
      <x:c r="O370" s="57" t="str">
        <x:f>IF($C370="","",MAX(0,MIN(100,IFERROR(VLOOKUP($L370,'Lists &amp; Rules'!$P$5:$Q$8,2,FALSE),0)+IFERROR(VLOOKUP($N370,'Lists &amp; Rules'!$S$5:$T$7,2,FALSE),0)+IFERROR(VLOOKUP($M370,'Lists &amp; Rules'!$L$5:$N$13,3,FALSE),0)+IF($R370="Overdue",-10,IF($R370="Today",5,0))+MIN(15,$Z370*3))))</x:f>
      </x:c>
      <x:c r="P370" s="71" t="str">
        <x:f>IF($A370="","",IF(COUNTIF('Activity Log'!$C$6:$C$1005,$A370)=0,"",MAXIFS('Activity Log'!$B$6:$B$1005,'Activity Log'!$C$6:$C$1005,$A370)))</x:f>
      </x:c>
      <x:c r="Q370" s="71" t="str">
        <x:f>IF($A370="","",IF(COUNTIFS('Activity Log'!$C$6:$C$1005,$A370,'Activity Log'!$J$6:$J$1005,"No",'Activity Log'!$I$6:$I$1005,"&gt;0")=0,"",MINIFS('Activity Log'!$I$6:$I$1005,'Activity Log'!$C$6:$C$1005,$A370,'Activity Log'!$J$6:$J$1005,"No",'Activity Log'!$I$6:$I$1005,"&gt;0")))</x:f>
      </x:c>
      <x:c r="R370" s="57" t="str">
        <x:f>IF($C370="","",IF(OR($K370="Won",$K370="Lost",$K370="Disqualified"),"Closed",IF($Q370="","No date",IF(INT($Q370)&lt;TODAY(),"Overdue",IF(INT($Q370)=TODAY(),"Today",IF(INT($Q370)&lt;=TODAY()+7,"Next 7 days","Later"))))))</x:f>
      </x:c>
      <x:c r="S370" s="57" t="str">
        <x:f>IF(OR($C370="",$P370=""),"",TODAY()-INT($P370))</x:f>
      </x:c>
      <x:c r="T370" s="54"/>
      <x:c r="U370" s="54"/>
      <x:c r="V370" s="63"/>
      <x:c r="W370" s="74"/>
      <x:c r="X370" s="77" t="str">
        <x:f>IF($C370="","",IFERROR(VLOOKUP($M370,'Lists &amp; Rules'!$L$5:$N$13,2,FALSE),0))</x:f>
      </x:c>
      <x:c r="Y370" s="80" t="str">
        <x:f>IF(OR($C370="",$W370=""),"",ROUND($W370*$X370,0))</x:f>
      </x:c>
      <x:c r="Z370" s="57" t="str">
        <x:f>IF($A370="","",COUNTIF('Activity Log'!$C$6:$C$1005,$A370))</x:f>
      </x:c>
      <x:c r="AA370" s="68"/>
      <x:c r="AB370" s="63"/>
    </x:row>
    <x:row r="371">
      <x:c r="A371" s="54"/>
      <x:c r="B371" s="68"/>
      <x:c r="C371" s="54"/>
      <x:c r="D371" s="54"/>
      <x:c r="E371" s="54"/>
      <x:c r="F371" s="54"/>
      <x:c r="G371" s="54"/>
      <x:c r="H371" s="54"/>
      <x:c r="I371" s="54"/>
      <x:c r="J371" s="54"/>
      <x:c r="K371" s="54"/>
      <x:c r="L371" s="54"/>
      <x:c r="M371" s="54"/>
      <x:c r="N371" s="54"/>
      <x:c r="O371" s="57" t="str">
        <x:f>IF($C371="","",MAX(0,MIN(100,IFERROR(VLOOKUP($L371,'Lists &amp; Rules'!$P$5:$Q$8,2,FALSE),0)+IFERROR(VLOOKUP($N371,'Lists &amp; Rules'!$S$5:$T$7,2,FALSE),0)+IFERROR(VLOOKUP($M371,'Lists &amp; Rules'!$L$5:$N$13,3,FALSE),0)+IF($R371="Overdue",-10,IF($R371="Today",5,0))+MIN(15,$Z371*3))))</x:f>
      </x:c>
      <x:c r="P371" s="71" t="str">
        <x:f>IF($A371="","",IF(COUNTIF('Activity Log'!$C$6:$C$1005,$A371)=0,"",MAXIFS('Activity Log'!$B$6:$B$1005,'Activity Log'!$C$6:$C$1005,$A371)))</x:f>
      </x:c>
      <x:c r="Q371" s="71" t="str">
        <x:f>IF($A371="","",IF(COUNTIFS('Activity Log'!$C$6:$C$1005,$A371,'Activity Log'!$J$6:$J$1005,"No",'Activity Log'!$I$6:$I$1005,"&gt;0")=0,"",MINIFS('Activity Log'!$I$6:$I$1005,'Activity Log'!$C$6:$C$1005,$A371,'Activity Log'!$J$6:$J$1005,"No",'Activity Log'!$I$6:$I$1005,"&gt;0")))</x:f>
      </x:c>
      <x:c r="R371" s="57" t="str">
        <x:f>IF($C371="","",IF(OR($K371="Won",$K371="Lost",$K371="Disqualified"),"Closed",IF($Q371="","No date",IF(INT($Q371)&lt;TODAY(),"Overdue",IF(INT($Q371)=TODAY(),"Today",IF(INT($Q371)&lt;=TODAY()+7,"Next 7 days","Later"))))))</x:f>
      </x:c>
      <x:c r="S371" s="57" t="str">
        <x:f>IF(OR($C371="",$P371=""),"",TODAY()-INT($P371))</x:f>
      </x:c>
      <x:c r="T371" s="54"/>
      <x:c r="U371" s="54"/>
      <x:c r="V371" s="63"/>
      <x:c r="W371" s="74"/>
      <x:c r="X371" s="77" t="str">
        <x:f>IF($C371="","",IFERROR(VLOOKUP($M371,'Lists &amp; Rules'!$L$5:$N$13,2,FALSE),0))</x:f>
      </x:c>
      <x:c r="Y371" s="80" t="str">
        <x:f>IF(OR($C371="",$W371=""),"",ROUND($W371*$X371,0))</x:f>
      </x:c>
      <x:c r="Z371" s="57" t="str">
        <x:f>IF($A371="","",COUNTIF('Activity Log'!$C$6:$C$1005,$A371))</x:f>
      </x:c>
      <x:c r="AA371" s="68"/>
      <x:c r="AB371" s="63"/>
    </x:row>
    <x:row r="372">
      <x:c r="A372" s="54"/>
      <x:c r="B372" s="68"/>
      <x:c r="C372" s="54"/>
      <x:c r="D372" s="54"/>
      <x:c r="E372" s="54"/>
      <x:c r="F372" s="54"/>
      <x:c r="G372" s="54"/>
      <x:c r="H372" s="54"/>
      <x:c r="I372" s="54"/>
      <x:c r="J372" s="54"/>
      <x:c r="K372" s="54"/>
      <x:c r="L372" s="54"/>
      <x:c r="M372" s="54"/>
      <x:c r="N372" s="54"/>
      <x:c r="O372" s="57" t="str">
        <x:f>IF($C372="","",MAX(0,MIN(100,IFERROR(VLOOKUP($L372,'Lists &amp; Rules'!$P$5:$Q$8,2,FALSE),0)+IFERROR(VLOOKUP($N372,'Lists &amp; Rules'!$S$5:$T$7,2,FALSE),0)+IFERROR(VLOOKUP($M372,'Lists &amp; Rules'!$L$5:$N$13,3,FALSE),0)+IF($R372="Overdue",-10,IF($R372="Today",5,0))+MIN(15,$Z372*3))))</x:f>
      </x:c>
      <x:c r="P372" s="71" t="str">
        <x:f>IF($A372="","",IF(COUNTIF('Activity Log'!$C$6:$C$1005,$A372)=0,"",MAXIFS('Activity Log'!$B$6:$B$1005,'Activity Log'!$C$6:$C$1005,$A372)))</x:f>
      </x:c>
      <x:c r="Q372" s="71" t="str">
        <x:f>IF($A372="","",IF(COUNTIFS('Activity Log'!$C$6:$C$1005,$A372,'Activity Log'!$J$6:$J$1005,"No",'Activity Log'!$I$6:$I$1005,"&gt;0")=0,"",MINIFS('Activity Log'!$I$6:$I$1005,'Activity Log'!$C$6:$C$1005,$A372,'Activity Log'!$J$6:$J$1005,"No",'Activity Log'!$I$6:$I$1005,"&gt;0")))</x:f>
      </x:c>
      <x:c r="R372" s="57" t="str">
        <x:f>IF($C372="","",IF(OR($K372="Won",$K372="Lost",$K372="Disqualified"),"Closed",IF($Q372="","No date",IF(INT($Q372)&lt;TODAY(),"Overdue",IF(INT($Q372)=TODAY(),"Today",IF(INT($Q372)&lt;=TODAY()+7,"Next 7 days","Later"))))))</x:f>
      </x:c>
      <x:c r="S372" s="57" t="str">
        <x:f>IF(OR($C372="",$P372=""),"",TODAY()-INT($P372))</x:f>
      </x:c>
      <x:c r="T372" s="54"/>
      <x:c r="U372" s="54"/>
      <x:c r="V372" s="63"/>
      <x:c r="W372" s="74"/>
      <x:c r="X372" s="77" t="str">
        <x:f>IF($C372="","",IFERROR(VLOOKUP($M372,'Lists &amp; Rules'!$L$5:$N$13,2,FALSE),0))</x:f>
      </x:c>
      <x:c r="Y372" s="80" t="str">
        <x:f>IF(OR($C372="",$W372=""),"",ROUND($W372*$X372,0))</x:f>
      </x:c>
      <x:c r="Z372" s="57" t="str">
        <x:f>IF($A372="","",COUNTIF('Activity Log'!$C$6:$C$1005,$A372))</x:f>
      </x:c>
      <x:c r="AA372" s="68"/>
      <x:c r="AB372" s="63"/>
    </x:row>
    <x:row r="373">
      <x:c r="A373" s="54"/>
      <x:c r="B373" s="68"/>
      <x:c r="C373" s="54"/>
      <x:c r="D373" s="54"/>
      <x:c r="E373" s="54"/>
      <x:c r="F373" s="54"/>
      <x:c r="G373" s="54"/>
      <x:c r="H373" s="54"/>
      <x:c r="I373" s="54"/>
      <x:c r="J373" s="54"/>
      <x:c r="K373" s="54"/>
      <x:c r="L373" s="54"/>
      <x:c r="M373" s="54"/>
      <x:c r="N373" s="54"/>
      <x:c r="O373" s="57" t="str">
        <x:f>IF($C373="","",MAX(0,MIN(100,IFERROR(VLOOKUP($L373,'Lists &amp; Rules'!$P$5:$Q$8,2,FALSE),0)+IFERROR(VLOOKUP($N373,'Lists &amp; Rules'!$S$5:$T$7,2,FALSE),0)+IFERROR(VLOOKUP($M373,'Lists &amp; Rules'!$L$5:$N$13,3,FALSE),0)+IF($R373="Overdue",-10,IF($R373="Today",5,0))+MIN(15,$Z373*3))))</x:f>
      </x:c>
      <x:c r="P373" s="71" t="str">
        <x:f>IF($A373="","",IF(COUNTIF('Activity Log'!$C$6:$C$1005,$A373)=0,"",MAXIFS('Activity Log'!$B$6:$B$1005,'Activity Log'!$C$6:$C$1005,$A373)))</x:f>
      </x:c>
      <x:c r="Q373" s="71" t="str">
        <x:f>IF($A373="","",IF(COUNTIFS('Activity Log'!$C$6:$C$1005,$A373,'Activity Log'!$J$6:$J$1005,"No",'Activity Log'!$I$6:$I$1005,"&gt;0")=0,"",MINIFS('Activity Log'!$I$6:$I$1005,'Activity Log'!$C$6:$C$1005,$A373,'Activity Log'!$J$6:$J$1005,"No",'Activity Log'!$I$6:$I$1005,"&gt;0")))</x:f>
      </x:c>
      <x:c r="R373" s="57" t="str">
        <x:f>IF($C373="","",IF(OR($K373="Won",$K373="Lost",$K373="Disqualified"),"Closed",IF($Q373="","No date",IF(INT($Q373)&lt;TODAY(),"Overdue",IF(INT($Q373)=TODAY(),"Today",IF(INT($Q373)&lt;=TODAY()+7,"Next 7 days","Later"))))))</x:f>
      </x:c>
      <x:c r="S373" s="57" t="str">
        <x:f>IF(OR($C373="",$P373=""),"",TODAY()-INT($P373))</x:f>
      </x:c>
      <x:c r="T373" s="54"/>
      <x:c r="U373" s="54"/>
      <x:c r="V373" s="63"/>
      <x:c r="W373" s="74"/>
      <x:c r="X373" s="77" t="str">
        <x:f>IF($C373="","",IFERROR(VLOOKUP($M373,'Lists &amp; Rules'!$L$5:$N$13,2,FALSE),0))</x:f>
      </x:c>
      <x:c r="Y373" s="80" t="str">
        <x:f>IF(OR($C373="",$W373=""),"",ROUND($W373*$X373,0))</x:f>
      </x:c>
      <x:c r="Z373" s="57" t="str">
        <x:f>IF($A373="","",COUNTIF('Activity Log'!$C$6:$C$1005,$A373))</x:f>
      </x:c>
      <x:c r="AA373" s="68"/>
      <x:c r="AB373" s="63"/>
    </x:row>
    <x:row r="374">
      <x:c r="A374" s="54"/>
      <x:c r="B374" s="68"/>
      <x:c r="C374" s="54"/>
      <x:c r="D374" s="54"/>
      <x:c r="E374" s="54"/>
      <x:c r="F374" s="54"/>
      <x:c r="G374" s="54"/>
      <x:c r="H374" s="54"/>
      <x:c r="I374" s="54"/>
      <x:c r="J374" s="54"/>
      <x:c r="K374" s="54"/>
      <x:c r="L374" s="54"/>
      <x:c r="M374" s="54"/>
      <x:c r="N374" s="54"/>
      <x:c r="O374" s="57" t="str">
        <x:f>IF($C374="","",MAX(0,MIN(100,IFERROR(VLOOKUP($L374,'Lists &amp; Rules'!$P$5:$Q$8,2,FALSE),0)+IFERROR(VLOOKUP($N374,'Lists &amp; Rules'!$S$5:$T$7,2,FALSE),0)+IFERROR(VLOOKUP($M374,'Lists &amp; Rules'!$L$5:$N$13,3,FALSE),0)+IF($R374="Overdue",-10,IF($R374="Today",5,0))+MIN(15,$Z374*3))))</x:f>
      </x:c>
      <x:c r="P374" s="71" t="str">
        <x:f>IF($A374="","",IF(COUNTIF('Activity Log'!$C$6:$C$1005,$A374)=0,"",MAXIFS('Activity Log'!$B$6:$B$1005,'Activity Log'!$C$6:$C$1005,$A374)))</x:f>
      </x:c>
      <x:c r="Q374" s="71" t="str">
        <x:f>IF($A374="","",IF(COUNTIFS('Activity Log'!$C$6:$C$1005,$A374,'Activity Log'!$J$6:$J$1005,"No",'Activity Log'!$I$6:$I$1005,"&gt;0")=0,"",MINIFS('Activity Log'!$I$6:$I$1005,'Activity Log'!$C$6:$C$1005,$A374,'Activity Log'!$J$6:$J$1005,"No",'Activity Log'!$I$6:$I$1005,"&gt;0")))</x:f>
      </x:c>
      <x:c r="R374" s="57" t="str">
        <x:f>IF($C374="","",IF(OR($K374="Won",$K374="Lost",$K374="Disqualified"),"Closed",IF($Q374="","No date",IF(INT($Q374)&lt;TODAY(),"Overdue",IF(INT($Q374)=TODAY(),"Today",IF(INT($Q374)&lt;=TODAY()+7,"Next 7 days","Later"))))))</x:f>
      </x:c>
      <x:c r="S374" s="57" t="str">
        <x:f>IF(OR($C374="",$P374=""),"",TODAY()-INT($P374))</x:f>
      </x:c>
      <x:c r="T374" s="54"/>
      <x:c r="U374" s="54"/>
      <x:c r="V374" s="63"/>
      <x:c r="W374" s="74"/>
      <x:c r="X374" s="77" t="str">
        <x:f>IF($C374="","",IFERROR(VLOOKUP($M374,'Lists &amp; Rules'!$L$5:$N$13,2,FALSE),0))</x:f>
      </x:c>
      <x:c r="Y374" s="80" t="str">
        <x:f>IF(OR($C374="",$W374=""),"",ROUND($W374*$X374,0))</x:f>
      </x:c>
      <x:c r="Z374" s="57" t="str">
        <x:f>IF($A374="","",COUNTIF('Activity Log'!$C$6:$C$1005,$A374))</x:f>
      </x:c>
      <x:c r="AA374" s="68"/>
      <x:c r="AB374" s="63"/>
    </x:row>
    <x:row r="375">
      <x:c r="A375" s="54"/>
      <x:c r="B375" s="68"/>
      <x:c r="C375" s="54"/>
      <x:c r="D375" s="54"/>
      <x:c r="E375" s="54"/>
      <x:c r="F375" s="54"/>
      <x:c r="G375" s="54"/>
      <x:c r="H375" s="54"/>
      <x:c r="I375" s="54"/>
      <x:c r="J375" s="54"/>
      <x:c r="K375" s="54"/>
      <x:c r="L375" s="54"/>
      <x:c r="M375" s="54"/>
      <x:c r="N375" s="54"/>
      <x:c r="O375" s="57" t="str">
        <x:f>IF($C375="","",MAX(0,MIN(100,IFERROR(VLOOKUP($L375,'Lists &amp; Rules'!$P$5:$Q$8,2,FALSE),0)+IFERROR(VLOOKUP($N375,'Lists &amp; Rules'!$S$5:$T$7,2,FALSE),0)+IFERROR(VLOOKUP($M375,'Lists &amp; Rules'!$L$5:$N$13,3,FALSE),0)+IF($R375="Overdue",-10,IF($R375="Today",5,0))+MIN(15,$Z375*3))))</x:f>
      </x:c>
      <x:c r="P375" s="71" t="str">
        <x:f>IF($A375="","",IF(COUNTIF('Activity Log'!$C$6:$C$1005,$A375)=0,"",MAXIFS('Activity Log'!$B$6:$B$1005,'Activity Log'!$C$6:$C$1005,$A375)))</x:f>
      </x:c>
      <x:c r="Q375" s="71" t="str">
        <x:f>IF($A375="","",IF(COUNTIFS('Activity Log'!$C$6:$C$1005,$A375,'Activity Log'!$J$6:$J$1005,"No",'Activity Log'!$I$6:$I$1005,"&gt;0")=0,"",MINIFS('Activity Log'!$I$6:$I$1005,'Activity Log'!$C$6:$C$1005,$A375,'Activity Log'!$J$6:$J$1005,"No",'Activity Log'!$I$6:$I$1005,"&gt;0")))</x:f>
      </x:c>
      <x:c r="R375" s="57" t="str">
        <x:f>IF($C375="","",IF(OR($K375="Won",$K375="Lost",$K375="Disqualified"),"Closed",IF($Q375="","No date",IF(INT($Q375)&lt;TODAY(),"Overdue",IF(INT($Q375)=TODAY(),"Today",IF(INT($Q375)&lt;=TODAY()+7,"Next 7 days","Later"))))))</x:f>
      </x:c>
      <x:c r="S375" s="57" t="str">
        <x:f>IF(OR($C375="",$P375=""),"",TODAY()-INT($P375))</x:f>
      </x:c>
      <x:c r="T375" s="54"/>
      <x:c r="U375" s="54"/>
      <x:c r="V375" s="63"/>
      <x:c r="W375" s="74"/>
      <x:c r="X375" s="77" t="str">
        <x:f>IF($C375="","",IFERROR(VLOOKUP($M375,'Lists &amp; Rules'!$L$5:$N$13,2,FALSE),0))</x:f>
      </x:c>
      <x:c r="Y375" s="80" t="str">
        <x:f>IF(OR($C375="",$W375=""),"",ROUND($W375*$X375,0))</x:f>
      </x:c>
      <x:c r="Z375" s="57" t="str">
        <x:f>IF($A375="","",COUNTIF('Activity Log'!$C$6:$C$1005,$A375))</x:f>
      </x:c>
      <x:c r="AA375" s="68"/>
      <x:c r="AB375" s="63"/>
    </x:row>
    <x:row r="376">
      <x:c r="A376" s="54"/>
      <x:c r="B376" s="68"/>
      <x:c r="C376" s="54"/>
      <x:c r="D376" s="54"/>
      <x:c r="E376" s="54"/>
      <x:c r="F376" s="54"/>
      <x:c r="G376" s="54"/>
      <x:c r="H376" s="54"/>
      <x:c r="I376" s="54"/>
      <x:c r="J376" s="54"/>
      <x:c r="K376" s="54"/>
      <x:c r="L376" s="54"/>
      <x:c r="M376" s="54"/>
      <x:c r="N376" s="54"/>
      <x:c r="O376" s="57" t="str">
        <x:f>IF($C376="","",MAX(0,MIN(100,IFERROR(VLOOKUP($L376,'Lists &amp; Rules'!$P$5:$Q$8,2,FALSE),0)+IFERROR(VLOOKUP($N376,'Lists &amp; Rules'!$S$5:$T$7,2,FALSE),0)+IFERROR(VLOOKUP($M376,'Lists &amp; Rules'!$L$5:$N$13,3,FALSE),0)+IF($R376="Overdue",-10,IF($R376="Today",5,0))+MIN(15,$Z376*3))))</x:f>
      </x:c>
      <x:c r="P376" s="71" t="str">
        <x:f>IF($A376="","",IF(COUNTIF('Activity Log'!$C$6:$C$1005,$A376)=0,"",MAXIFS('Activity Log'!$B$6:$B$1005,'Activity Log'!$C$6:$C$1005,$A376)))</x:f>
      </x:c>
      <x:c r="Q376" s="71" t="str">
        <x:f>IF($A376="","",IF(COUNTIFS('Activity Log'!$C$6:$C$1005,$A376,'Activity Log'!$J$6:$J$1005,"No",'Activity Log'!$I$6:$I$1005,"&gt;0")=0,"",MINIFS('Activity Log'!$I$6:$I$1005,'Activity Log'!$C$6:$C$1005,$A376,'Activity Log'!$J$6:$J$1005,"No",'Activity Log'!$I$6:$I$1005,"&gt;0")))</x:f>
      </x:c>
      <x:c r="R376" s="57" t="str">
        <x:f>IF($C376="","",IF(OR($K376="Won",$K376="Lost",$K376="Disqualified"),"Closed",IF($Q376="","No date",IF(INT($Q376)&lt;TODAY(),"Overdue",IF(INT($Q376)=TODAY(),"Today",IF(INT($Q376)&lt;=TODAY()+7,"Next 7 days","Later"))))))</x:f>
      </x:c>
      <x:c r="S376" s="57" t="str">
        <x:f>IF(OR($C376="",$P376=""),"",TODAY()-INT($P376))</x:f>
      </x:c>
      <x:c r="T376" s="54"/>
      <x:c r="U376" s="54"/>
      <x:c r="V376" s="63"/>
      <x:c r="W376" s="74"/>
      <x:c r="X376" s="77" t="str">
        <x:f>IF($C376="","",IFERROR(VLOOKUP($M376,'Lists &amp; Rules'!$L$5:$N$13,2,FALSE),0))</x:f>
      </x:c>
      <x:c r="Y376" s="80" t="str">
        <x:f>IF(OR($C376="",$W376=""),"",ROUND($W376*$X376,0))</x:f>
      </x:c>
      <x:c r="Z376" s="57" t="str">
        <x:f>IF($A376="","",COUNTIF('Activity Log'!$C$6:$C$1005,$A376))</x:f>
      </x:c>
      <x:c r="AA376" s="68"/>
      <x:c r="AB376" s="63"/>
    </x:row>
    <x:row r="377">
      <x:c r="A377" s="54"/>
      <x:c r="B377" s="68"/>
      <x:c r="C377" s="54"/>
      <x:c r="D377" s="54"/>
      <x:c r="E377" s="54"/>
      <x:c r="F377" s="54"/>
      <x:c r="G377" s="54"/>
      <x:c r="H377" s="54"/>
      <x:c r="I377" s="54"/>
      <x:c r="J377" s="54"/>
      <x:c r="K377" s="54"/>
      <x:c r="L377" s="54"/>
      <x:c r="M377" s="54"/>
      <x:c r="N377" s="54"/>
      <x:c r="O377" s="57" t="str">
        <x:f>IF($C377="","",MAX(0,MIN(100,IFERROR(VLOOKUP($L377,'Lists &amp; Rules'!$P$5:$Q$8,2,FALSE),0)+IFERROR(VLOOKUP($N377,'Lists &amp; Rules'!$S$5:$T$7,2,FALSE),0)+IFERROR(VLOOKUP($M377,'Lists &amp; Rules'!$L$5:$N$13,3,FALSE),0)+IF($R377="Overdue",-10,IF($R377="Today",5,0))+MIN(15,$Z377*3))))</x:f>
      </x:c>
      <x:c r="P377" s="71" t="str">
        <x:f>IF($A377="","",IF(COUNTIF('Activity Log'!$C$6:$C$1005,$A377)=0,"",MAXIFS('Activity Log'!$B$6:$B$1005,'Activity Log'!$C$6:$C$1005,$A377)))</x:f>
      </x:c>
      <x:c r="Q377" s="71" t="str">
        <x:f>IF($A377="","",IF(COUNTIFS('Activity Log'!$C$6:$C$1005,$A377,'Activity Log'!$J$6:$J$1005,"No",'Activity Log'!$I$6:$I$1005,"&gt;0")=0,"",MINIFS('Activity Log'!$I$6:$I$1005,'Activity Log'!$C$6:$C$1005,$A377,'Activity Log'!$J$6:$J$1005,"No",'Activity Log'!$I$6:$I$1005,"&gt;0")))</x:f>
      </x:c>
      <x:c r="R377" s="57" t="str">
        <x:f>IF($C377="","",IF(OR($K377="Won",$K377="Lost",$K377="Disqualified"),"Closed",IF($Q377="","No date",IF(INT($Q377)&lt;TODAY(),"Overdue",IF(INT($Q377)=TODAY(),"Today",IF(INT($Q377)&lt;=TODAY()+7,"Next 7 days","Later"))))))</x:f>
      </x:c>
      <x:c r="S377" s="57" t="str">
        <x:f>IF(OR($C377="",$P377=""),"",TODAY()-INT($P377))</x:f>
      </x:c>
      <x:c r="T377" s="54"/>
      <x:c r="U377" s="54"/>
      <x:c r="V377" s="63"/>
      <x:c r="W377" s="74"/>
      <x:c r="X377" s="77" t="str">
        <x:f>IF($C377="","",IFERROR(VLOOKUP($M377,'Lists &amp; Rules'!$L$5:$N$13,2,FALSE),0))</x:f>
      </x:c>
      <x:c r="Y377" s="80" t="str">
        <x:f>IF(OR($C377="",$W377=""),"",ROUND($W377*$X377,0))</x:f>
      </x:c>
      <x:c r="Z377" s="57" t="str">
        <x:f>IF($A377="","",COUNTIF('Activity Log'!$C$6:$C$1005,$A377))</x:f>
      </x:c>
      <x:c r="AA377" s="68"/>
      <x:c r="AB377" s="63"/>
    </x:row>
    <x:row r="378">
      <x:c r="A378" s="54"/>
      <x:c r="B378" s="68"/>
      <x:c r="C378" s="54"/>
      <x:c r="D378" s="54"/>
      <x:c r="E378" s="54"/>
      <x:c r="F378" s="54"/>
      <x:c r="G378" s="54"/>
      <x:c r="H378" s="54"/>
      <x:c r="I378" s="54"/>
      <x:c r="J378" s="54"/>
      <x:c r="K378" s="54"/>
      <x:c r="L378" s="54"/>
      <x:c r="M378" s="54"/>
      <x:c r="N378" s="54"/>
      <x:c r="O378" s="57" t="str">
        <x:f>IF($C378="","",MAX(0,MIN(100,IFERROR(VLOOKUP($L378,'Lists &amp; Rules'!$P$5:$Q$8,2,FALSE),0)+IFERROR(VLOOKUP($N378,'Lists &amp; Rules'!$S$5:$T$7,2,FALSE),0)+IFERROR(VLOOKUP($M378,'Lists &amp; Rules'!$L$5:$N$13,3,FALSE),0)+IF($R378="Overdue",-10,IF($R378="Today",5,0))+MIN(15,$Z378*3))))</x:f>
      </x:c>
      <x:c r="P378" s="71" t="str">
        <x:f>IF($A378="","",IF(COUNTIF('Activity Log'!$C$6:$C$1005,$A378)=0,"",MAXIFS('Activity Log'!$B$6:$B$1005,'Activity Log'!$C$6:$C$1005,$A378)))</x:f>
      </x:c>
      <x:c r="Q378" s="71" t="str">
        <x:f>IF($A378="","",IF(COUNTIFS('Activity Log'!$C$6:$C$1005,$A378,'Activity Log'!$J$6:$J$1005,"No",'Activity Log'!$I$6:$I$1005,"&gt;0")=0,"",MINIFS('Activity Log'!$I$6:$I$1005,'Activity Log'!$C$6:$C$1005,$A378,'Activity Log'!$J$6:$J$1005,"No",'Activity Log'!$I$6:$I$1005,"&gt;0")))</x:f>
      </x:c>
      <x:c r="R378" s="57" t="str">
        <x:f>IF($C378="","",IF(OR($K378="Won",$K378="Lost",$K378="Disqualified"),"Closed",IF($Q378="","No date",IF(INT($Q378)&lt;TODAY(),"Overdue",IF(INT($Q378)=TODAY(),"Today",IF(INT($Q378)&lt;=TODAY()+7,"Next 7 days","Later"))))))</x:f>
      </x:c>
      <x:c r="S378" s="57" t="str">
        <x:f>IF(OR($C378="",$P378=""),"",TODAY()-INT($P378))</x:f>
      </x:c>
      <x:c r="T378" s="54"/>
      <x:c r="U378" s="54"/>
      <x:c r="V378" s="63"/>
      <x:c r="W378" s="74"/>
      <x:c r="X378" s="77" t="str">
        <x:f>IF($C378="","",IFERROR(VLOOKUP($M378,'Lists &amp; Rules'!$L$5:$N$13,2,FALSE),0))</x:f>
      </x:c>
      <x:c r="Y378" s="80" t="str">
        <x:f>IF(OR($C378="",$W378=""),"",ROUND($W378*$X378,0))</x:f>
      </x:c>
      <x:c r="Z378" s="57" t="str">
        <x:f>IF($A378="","",COUNTIF('Activity Log'!$C$6:$C$1005,$A378))</x:f>
      </x:c>
      <x:c r="AA378" s="68"/>
      <x:c r="AB378" s="63"/>
    </x:row>
    <x:row r="379">
      <x:c r="A379" s="54"/>
      <x:c r="B379" s="68"/>
      <x:c r="C379" s="54"/>
      <x:c r="D379" s="54"/>
      <x:c r="E379" s="54"/>
      <x:c r="F379" s="54"/>
      <x:c r="G379" s="54"/>
      <x:c r="H379" s="54"/>
      <x:c r="I379" s="54"/>
      <x:c r="J379" s="54"/>
      <x:c r="K379" s="54"/>
      <x:c r="L379" s="54"/>
      <x:c r="M379" s="54"/>
      <x:c r="N379" s="54"/>
      <x:c r="O379" s="57" t="str">
        <x:f>IF($C379="","",MAX(0,MIN(100,IFERROR(VLOOKUP($L379,'Lists &amp; Rules'!$P$5:$Q$8,2,FALSE),0)+IFERROR(VLOOKUP($N379,'Lists &amp; Rules'!$S$5:$T$7,2,FALSE),0)+IFERROR(VLOOKUP($M379,'Lists &amp; Rules'!$L$5:$N$13,3,FALSE),0)+IF($R379="Overdue",-10,IF($R379="Today",5,0))+MIN(15,$Z379*3))))</x:f>
      </x:c>
      <x:c r="P379" s="71" t="str">
        <x:f>IF($A379="","",IF(COUNTIF('Activity Log'!$C$6:$C$1005,$A379)=0,"",MAXIFS('Activity Log'!$B$6:$B$1005,'Activity Log'!$C$6:$C$1005,$A379)))</x:f>
      </x:c>
      <x:c r="Q379" s="71" t="str">
        <x:f>IF($A379="","",IF(COUNTIFS('Activity Log'!$C$6:$C$1005,$A379,'Activity Log'!$J$6:$J$1005,"No",'Activity Log'!$I$6:$I$1005,"&gt;0")=0,"",MINIFS('Activity Log'!$I$6:$I$1005,'Activity Log'!$C$6:$C$1005,$A379,'Activity Log'!$J$6:$J$1005,"No",'Activity Log'!$I$6:$I$1005,"&gt;0")))</x:f>
      </x:c>
      <x:c r="R379" s="57" t="str">
        <x:f>IF($C379="","",IF(OR($K379="Won",$K379="Lost",$K379="Disqualified"),"Closed",IF($Q379="","No date",IF(INT($Q379)&lt;TODAY(),"Overdue",IF(INT($Q379)=TODAY(),"Today",IF(INT($Q379)&lt;=TODAY()+7,"Next 7 days","Later"))))))</x:f>
      </x:c>
      <x:c r="S379" s="57" t="str">
        <x:f>IF(OR($C379="",$P379=""),"",TODAY()-INT($P379))</x:f>
      </x:c>
      <x:c r="T379" s="54"/>
      <x:c r="U379" s="54"/>
      <x:c r="V379" s="63"/>
      <x:c r="W379" s="74"/>
      <x:c r="X379" s="77" t="str">
        <x:f>IF($C379="","",IFERROR(VLOOKUP($M379,'Lists &amp; Rules'!$L$5:$N$13,2,FALSE),0))</x:f>
      </x:c>
      <x:c r="Y379" s="80" t="str">
        <x:f>IF(OR($C379="",$W379=""),"",ROUND($W379*$X379,0))</x:f>
      </x:c>
      <x:c r="Z379" s="57" t="str">
        <x:f>IF($A379="","",COUNTIF('Activity Log'!$C$6:$C$1005,$A379))</x:f>
      </x:c>
      <x:c r="AA379" s="68"/>
      <x:c r="AB379" s="63"/>
    </x:row>
    <x:row r="380">
      <x:c r="A380" s="54"/>
      <x:c r="B380" s="68"/>
      <x:c r="C380" s="54"/>
      <x:c r="D380" s="54"/>
      <x:c r="E380" s="54"/>
      <x:c r="F380" s="54"/>
      <x:c r="G380" s="54"/>
      <x:c r="H380" s="54"/>
      <x:c r="I380" s="54"/>
      <x:c r="J380" s="54"/>
      <x:c r="K380" s="54"/>
      <x:c r="L380" s="54"/>
      <x:c r="M380" s="54"/>
      <x:c r="N380" s="54"/>
      <x:c r="O380" s="57" t="str">
        <x:f>IF($C380="","",MAX(0,MIN(100,IFERROR(VLOOKUP($L380,'Lists &amp; Rules'!$P$5:$Q$8,2,FALSE),0)+IFERROR(VLOOKUP($N380,'Lists &amp; Rules'!$S$5:$T$7,2,FALSE),0)+IFERROR(VLOOKUP($M380,'Lists &amp; Rules'!$L$5:$N$13,3,FALSE),0)+IF($R380="Overdue",-10,IF($R380="Today",5,0))+MIN(15,$Z380*3))))</x:f>
      </x:c>
      <x:c r="P380" s="71" t="str">
        <x:f>IF($A380="","",IF(COUNTIF('Activity Log'!$C$6:$C$1005,$A380)=0,"",MAXIFS('Activity Log'!$B$6:$B$1005,'Activity Log'!$C$6:$C$1005,$A380)))</x:f>
      </x:c>
      <x:c r="Q380" s="71" t="str">
        <x:f>IF($A380="","",IF(COUNTIFS('Activity Log'!$C$6:$C$1005,$A380,'Activity Log'!$J$6:$J$1005,"No",'Activity Log'!$I$6:$I$1005,"&gt;0")=0,"",MINIFS('Activity Log'!$I$6:$I$1005,'Activity Log'!$C$6:$C$1005,$A380,'Activity Log'!$J$6:$J$1005,"No",'Activity Log'!$I$6:$I$1005,"&gt;0")))</x:f>
      </x:c>
      <x:c r="R380" s="57" t="str">
        <x:f>IF($C380="","",IF(OR($K380="Won",$K380="Lost",$K380="Disqualified"),"Closed",IF($Q380="","No date",IF(INT($Q380)&lt;TODAY(),"Overdue",IF(INT($Q380)=TODAY(),"Today",IF(INT($Q380)&lt;=TODAY()+7,"Next 7 days","Later"))))))</x:f>
      </x:c>
      <x:c r="S380" s="57" t="str">
        <x:f>IF(OR($C380="",$P380=""),"",TODAY()-INT($P380))</x:f>
      </x:c>
      <x:c r="T380" s="54"/>
      <x:c r="U380" s="54"/>
      <x:c r="V380" s="63"/>
      <x:c r="W380" s="74"/>
      <x:c r="X380" s="77" t="str">
        <x:f>IF($C380="","",IFERROR(VLOOKUP($M380,'Lists &amp; Rules'!$L$5:$N$13,2,FALSE),0))</x:f>
      </x:c>
      <x:c r="Y380" s="80" t="str">
        <x:f>IF(OR($C380="",$W380=""),"",ROUND($W380*$X380,0))</x:f>
      </x:c>
      <x:c r="Z380" s="57" t="str">
        <x:f>IF($A380="","",COUNTIF('Activity Log'!$C$6:$C$1005,$A380))</x:f>
      </x:c>
      <x:c r="AA380" s="68"/>
      <x:c r="AB380" s="63"/>
    </x:row>
    <x:row r="381">
      <x:c r="A381" s="54"/>
      <x:c r="B381" s="68"/>
      <x:c r="C381" s="54"/>
      <x:c r="D381" s="54"/>
      <x:c r="E381" s="54"/>
      <x:c r="F381" s="54"/>
      <x:c r="G381" s="54"/>
      <x:c r="H381" s="54"/>
      <x:c r="I381" s="54"/>
      <x:c r="J381" s="54"/>
      <x:c r="K381" s="54"/>
      <x:c r="L381" s="54"/>
      <x:c r="M381" s="54"/>
      <x:c r="N381" s="54"/>
      <x:c r="O381" s="57" t="str">
        <x:f>IF($C381="","",MAX(0,MIN(100,IFERROR(VLOOKUP($L381,'Lists &amp; Rules'!$P$5:$Q$8,2,FALSE),0)+IFERROR(VLOOKUP($N381,'Lists &amp; Rules'!$S$5:$T$7,2,FALSE),0)+IFERROR(VLOOKUP($M381,'Lists &amp; Rules'!$L$5:$N$13,3,FALSE),0)+IF($R381="Overdue",-10,IF($R381="Today",5,0))+MIN(15,$Z381*3))))</x:f>
      </x:c>
      <x:c r="P381" s="71" t="str">
        <x:f>IF($A381="","",IF(COUNTIF('Activity Log'!$C$6:$C$1005,$A381)=0,"",MAXIFS('Activity Log'!$B$6:$B$1005,'Activity Log'!$C$6:$C$1005,$A381)))</x:f>
      </x:c>
      <x:c r="Q381" s="71" t="str">
        <x:f>IF($A381="","",IF(COUNTIFS('Activity Log'!$C$6:$C$1005,$A381,'Activity Log'!$J$6:$J$1005,"No",'Activity Log'!$I$6:$I$1005,"&gt;0")=0,"",MINIFS('Activity Log'!$I$6:$I$1005,'Activity Log'!$C$6:$C$1005,$A381,'Activity Log'!$J$6:$J$1005,"No",'Activity Log'!$I$6:$I$1005,"&gt;0")))</x:f>
      </x:c>
      <x:c r="R381" s="57" t="str">
        <x:f>IF($C381="","",IF(OR($K381="Won",$K381="Lost",$K381="Disqualified"),"Closed",IF($Q381="","No date",IF(INT($Q381)&lt;TODAY(),"Overdue",IF(INT($Q381)=TODAY(),"Today",IF(INT($Q381)&lt;=TODAY()+7,"Next 7 days","Later"))))))</x:f>
      </x:c>
      <x:c r="S381" s="57" t="str">
        <x:f>IF(OR($C381="",$P381=""),"",TODAY()-INT($P381))</x:f>
      </x:c>
      <x:c r="T381" s="54"/>
      <x:c r="U381" s="54"/>
      <x:c r="V381" s="63"/>
      <x:c r="W381" s="74"/>
      <x:c r="X381" s="77" t="str">
        <x:f>IF($C381="","",IFERROR(VLOOKUP($M381,'Lists &amp; Rules'!$L$5:$N$13,2,FALSE),0))</x:f>
      </x:c>
      <x:c r="Y381" s="80" t="str">
        <x:f>IF(OR($C381="",$W381=""),"",ROUND($W381*$X381,0))</x:f>
      </x:c>
      <x:c r="Z381" s="57" t="str">
        <x:f>IF($A381="","",COUNTIF('Activity Log'!$C$6:$C$1005,$A381))</x:f>
      </x:c>
      <x:c r="AA381" s="68"/>
      <x:c r="AB381" s="63"/>
    </x:row>
    <x:row r="382">
      <x:c r="A382" s="54"/>
      <x:c r="B382" s="68"/>
      <x:c r="C382" s="54"/>
      <x:c r="D382" s="54"/>
      <x:c r="E382" s="54"/>
      <x:c r="F382" s="54"/>
      <x:c r="G382" s="54"/>
      <x:c r="H382" s="54"/>
      <x:c r="I382" s="54"/>
      <x:c r="J382" s="54"/>
      <x:c r="K382" s="54"/>
      <x:c r="L382" s="54"/>
      <x:c r="M382" s="54"/>
      <x:c r="N382" s="54"/>
      <x:c r="O382" s="57" t="str">
        <x:f>IF($C382="","",MAX(0,MIN(100,IFERROR(VLOOKUP($L382,'Lists &amp; Rules'!$P$5:$Q$8,2,FALSE),0)+IFERROR(VLOOKUP($N382,'Lists &amp; Rules'!$S$5:$T$7,2,FALSE),0)+IFERROR(VLOOKUP($M382,'Lists &amp; Rules'!$L$5:$N$13,3,FALSE),0)+IF($R382="Overdue",-10,IF($R382="Today",5,0))+MIN(15,$Z382*3))))</x:f>
      </x:c>
      <x:c r="P382" s="71" t="str">
        <x:f>IF($A382="","",IF(COUNTIF('Activity Log'!$C$6:$C$1005,$A382)=0,"",MAXIFS('Activity Log'!$B$6:$B$1005,'Activity Log'!$C$6:$C$1005,$A382)))</x:f>
      </x:c>
      <x:c r="Q382" s="71" t="str">
        <x:f>IF($A382="","",IF(COUNTIFS('Activity Log'!$C$6:$C$1005,$A382,'Activity Log'!$J$6:$J$1005,"No",'Activity Log'!$I$6:$I$1005,"&gt;0")=0,"",MINIFS('Activity Log'!$I$6:$I$1005,'Activity Log'!$C$6:$C$1005,$A382,'Activity Log'!$J$6:$J$1005,"No",'Activity Log'!$I$6:$I$1005,"&gt;0")))</x:f>
      </x:c>
      <x:c r="R382" s="57" t="str">
        <x:f>IF($C382="","",IF(OR($K382="Won",$K382="Lost",$K382="Disqualified"),"Closed",IF($Q382="","No date",IF(INT($Q382)&lt;TODAY(),"Overdue",IF(INT($Q382)=TODAY(),"Today",IF(INT($Q382)&lt;=TODAY()+7,"Next 7 days","Later"))))))</x:f>
      </x:c>
      <x:c r="S382" s="57" t="str">
        <x:f>IF(OR($C382="",$P382=""),"",TODAY()-INT($P382))</x:f>
      </x:c>
      <x:c r="T382" s="54"/>
      <x:c r="U382" s="54"/>
      <x:c r="V382" s="63"/>
      <x:c r="W382" s="74"/>
      <x:c r="X382" s="77" t="str">
        <x:f>IF($C382="","",IFERROR(VLOOKUP($M382,'Lists &amp; Rules'!$L$5:$N$13,2,FALSE),0))</x:f>
      </x:c>
      <x:c r="Y382" s="80" t="str">
        <x:f>IF(OR($C382="",$W382=""),"",ROUND($W382*$X382,0))</x:f>
      </x:c>
      <x:c r="Z382" s="57" t="str">
        <x:f>IF($A382="","",COUNTIF('Activity Log'!$C$6:$C$1005,$A382))</x:f>
      </x:c>
      <x:c r="AA382" s="68"/>
      <x:c r="AB382" s="63"/>
    </x:row>
    <x:row r="383">
      <x:c r="A383" s="54"/>
      <x:c r="B383" s="68"/>
      <x:c r="C383" s="54"/>
      <x:c r="D383" s="54"/>
      <x:c r="E383" s="54"/>
      <x:c r="F383" s="54"/>
      <x:c r="G383" s="54"/>
      <x:c r="H383" s="54"/>
      <x:c r="I383" s="54"/>
      <x:c r="J383" s="54"/>
      <x:c r="K383" s="54"/>
      <x:c r="L383" s="54"/>
      <x:c r="M383" s="54"/>
      <x:c r="N383" s="54"/>
      <x:c r="O383" s="57" t="str">
        <x:f>IF($C383="","",MAX(0,MIN(100,IFERROR(VLOOKUP($L383,'Lists &amp; Rules'!$P$5:$Q$8,2,FALSE),0)+IFERROR(VLOOKUP($N383,'Lists &amp; Rules'!$S$5:$T$7,2,FALSE),0)+IFERROR(VLOOKUP($M383,'Lists &amp; Rules'!$L$5:$N$13,3,FALSE),0)+IF($R383="Overdue",-10,IF($R383="Today",5,0))+MIN(15,$Z383*3))))</x:f>
      </x:c>
      <x:c r="P383" s="71" t="str">
        <x:f>IF($A383="","",IF(COUNTIF('Activity Log'!$C$6:$C$1005,$A383)=0,"",MAXIFS('Activity Log'!$B$6:$B$1005,'Activity Log'!$C$6:$C$1005,$A383)))</x:f>
      </x:c>
      <x:c r="Q383" s="71" t="str">
        <x:f>IF($A383="","",IF(COUNTIFS('Activity Log'!$C$6:$C$1005,$A383,'Activity Log'!$J$6:$J$1005,"No",'Activity Log'!$I$6:$I$1005,"&gt;0")=0,"",MINIFS('Activity Log'!$I$6:$I$1005,'Activity Log'!$C$6:$C$1005,$A383,'Activity Log'!$J$6:$J$1005,"No",'Activity Log'!$I$6:$I$1005,"&gt;0")))</x:f>
      </x:c>
      <x:c r="R383" s="57" t="str">
        <x:f>IF($C383="","",IF(OR($K383="Won",$K383="Lost",$K383="Disqualified"),"Closed",IF($Q383="","No date",IF(INT($Q383)&lt;TODAY(),"Overdue",IF(INT($Q383)=TODAY(),"Today",IF(INT($Q383)&lt;=TODAY()+7,"Next 7 days","Later"))))))</x:f>
      </x:c>
      <x:c r="S383" s="57" t="str">
        <x:f>IF(OR($C383="",$P383=""),"",TODAY()-INT($P383))</x:f>
      </x:c>
      <x:c r="T383" s="54"/>
      <x:c r="U383" s="54"/>
      <x:c r="V383" s="63"/>
      <x:c r="W383" s="74"/>
      <x:c r="X383" s="77" t="str">
        <x:f>IF($C383="","",IFERROR(VLOOKUP($M383,'Lists &amp; Rules'!$L$5:$N$13,2,FALSE),0))</x:f>
      </x:c>
      <x:c r="Y383" s="80" t="str">
        <x:f>IF(OR($C383="",$W383=""),"",ROUND($W383*$X383,0))</x:f>
      </x:c>
      <x:c r="Z383" s="57" t="str">
        <x:f>IF($A383="","",COUNTIF('Activity Log'!$C$6:$C$1005,$A383))</x:f>
      </x:c>
      <x:c r="AA383" s="68"/>
      <x:c r="AB383" s="63"/>
    </x:row>
    <x:row r="384">
      <x:c r="A384" s="54"/>
      <x:c r="B384" s="68"/>
      <x:c r="C384" s="54"/>
      <x:c r="D384" s="54"/>
      <x:c r="E384" s="54"/>
      <x:c r="F384" s="54"/>
      <x:c r="G384" s="54"/>
      <x:c r="H384" s="54"/>
      <x:c r="I384" s="54"/>
      <x:c r="J384" s="54"/>
      <x:c r="K384" s="54"/>
      <x:c r="L384" s="54"/>
      <x:c r="M384" s="54"/>
      <x:c r="N384" s="54"/>
      <x:c r="O384" s="57" t="str">
        <x:f>IF($C384="","",MAX(0,MIN(100,IFERROR(VLOOKUP($L384,'Lists &amp; Rules'!$P$5:$Q$8,2,FALSE),0)+IFERROR(VLOOKUP($N384,'Lists &amp; Rules'!$S$5:$T$7,2,FALSE),0)+IFERROR(VLOOKUP($M384,'Lists &amp; Rules'!$L$5:$N$13,3,FALSE),0)+IF($R384="Overdue",-10,IF($R384="Today",5,0))+MIN(15,$Z384*3))))</x:f>
      </x:c>
      <x:c r="P384" s="71" t="str">
        <x:f>IF($A384="","",IF(COUNTIF('Activity Log'!$C$6:$C$1005,$A384)=0,"",MAXIFS('Activity Log'!$B$6:$B$1005,'Activity Log'!$C$6:$C$1005,$A384)))</x:f>
      </x:c>
      <x:c r="Q384" s="71" t="str">
        <x:f>IF($A384="","",IF(COUNTIFS('Activity Log'!$C$6:$C$1005,$A384,'Activity Log'!$J$6:$J$1005,"No",'Activity Log'!$I$6:$I$1005,"&gt;0")=0,"",MINIFS('Activity Log'!$I$6:$I$1005,'Activity Log'!$C$6:$C$1005,$A384,'Activity Log'!$J$6:$J$1005,"No",'Activity Log'!$I$6:$I$1005,"&gt;0")))</x:f>
      </x:c>
      <x:c r="R384" s="57" t="str">
        <x:f>IF($C384="","",IF(OR($K384="Won",$K384="Lost",$K384="Disqualified"),"Closed",IF($Q384="","No date",IF(INT($Q384)&lt;TODAY(),"Overdue",IF(INT($Q384)=TODAY(),"Today",IF(INT($Q384)&lt;=TODAY()+7,"Next 7 days","Later"))))))</x:f>
      </x:c>
      <x:c r="S384" s="57" t="str">
        <x:f>IF(OR($C384="",$P384=""),"",TODAY()-INT($P384))</x:f>
      </x:c>
      <x:c r="T384" s="54"/>
      <x:c r="U384" s="54"/>
      <x:c r="V384" s="63"/>
      <x:c r="W384" s="74"/>
      <x:c r="X384" s="77" t="str">
        <x:f>IF($C384="","",IFERROR(VLOOKUP($M384,'Lists &amp; Rules'!$L$5:$N$13,2,FALSE),0))</x:f>
      </x:c>
      <x:c r="Y384" s="80" t="str">
        <x:f>IF(OR($C384="",$W384=""),"",ROUND($W384*$X384,0))</x:f>
      </x:c>
      <x:c r="Z384" s="57" t="str">
        <x:f>IF($A384="","",COUNTIF('Activity Log'!$C$6:$C$1005,$A384))</x:f>
      </x:c>
      <x:c r="AA384" s="68"/>
      <x:c r="AB384" s="63"/>
    </x:row>
    <x:row r="385">
      <x:c r="A385" s="54"/>
      <x:c r="B385" s="68"/>
      <x:c r="C385" s="54"/>
      <x:c r="D385" s="54"/>
      <x:c r="E385" s="54"/>
      <x:c r="F385" s="54"/>
      <x:c r="G385" s="54"/>
      <x:c r="H385" s="54"/>
      <x:c r="I385" s="54"/>
      <x:c r="J385" s="54"/>
      <x:c r="K385" s="54"/>
      <x:c r="L385" s="54"/>
      <x:c r="M385" s="54"/>
      <x:c r="N385" s="54"/>
      <x:c r="O385" s="57" t="str">
        <x:f>IF($C385="","",MAX(0,MIN(100,IFERROR(VLOOKUP($L385,'Lists &amp; Rules'!$P$5:$Q$8,2,FALSE),0)+IFERROR(VLOOKUP($N385,'Lists &amp; Rules'!$S$5:$T$7,2,FALSE),0)+IFERROR(VLOOKUP($M385,'Lists &amp; Rules'!$L$5:$N$13,3,FALSE),0)+IF($R385="Overdue",-10,IF($R385="Today",5,0))+MIN(15,$Z385*3))))</x:f>
      </x:c>
      <x:c r="P385" s="71" t="str">
        <x:f>IF($A385="","",IF(COUNTIF('Activity Log'!$C$6:$C$1005,$A385)=0,"",MAXIFS('Activity Log'!$B$6:$B$1005,'Activity Log'!$C$6:$C$1005,$A385)))</x:f>
      </x:c>
      <x:c r="Q385" s="71" t="str">
        <x:f>IF($A385="","",IF(COUNTIFS('Activity Log'!$C$6:$C$1005,$A385,'Activity Log'!$J$6:$J$1005,"No",'Activity Log'!$I$6:$I$1005,"&gt;0")=0,"",MINIFS('Activity Log'!$I$6:$I$1005,'Activity Log'!$C$6:$C$1005,$A385,'Activity Log'!$J$6:$J$1005,"No",'Activity Log'!$I$6:$I$1005,"&gt;0")))</x:f>
      </x:c>
      <x:c r="R385" s="57" t="str">
        <x:f>IF($C385="","",IF(OR($K385="Won",$K385="Lost",$K385="Disqualified"),"Closed",IF($Q385="","No date",IF(INT($Q385)&lt;TODAY(),"Overdue",IF(INT($Q385)=TODAY(),"Today",IF(INT($Q385)&lt;=TODAY()+7,"Next 7 days","Later"))))))</x:f>
      </x:c>
      <x:c r="S385" s="57" t="str">
        <x:f>IF(OR($C385="",$P385=""),"",TODAY()-INT($P385))</x:f>
      </x:c>
      <x:c r="T385" s="54"/>
      <x:c r="U385" s="54"/>
      <x:c r="V385" s="63"/>
      <x:c r="W385" s="74"/>
      <x:c r="X385" s="77" t="str">
        <x:f>IF($C385="","",IFERROR(VLOOKUP($M385,'Lists &amp; Rules'!$L$5:$N$13,2,FALSE),0))</x:f>
      </x:c>
      <x:c r="Y385" s="80" t="str">
        <x:f>IF(OR($C385="",$W385=""),"",ROUND($W385*$X385,0))</x:f>
      </x:c>
      <x:c r="Z385" s="57" t="str">
        <x:f>IF($A385="","",COUNTIF('Activity Log'!$C$6:$C$1005,$A385))</x:f>
      </x:c>
      <x:c r="AA385" s="68"/>
      <x:c r="AB385" s="63"/>
    </x:row>
    <x:row r="386">
      <x:c r="A386" s="54"/>
      <x:c r="B386" s="68"/>
      <x:c r="C386" s="54"/>
      <x:c r="D386" s="54"/>
      <x:c r="E386" s="54"/>
      <x:c r="F386" s="54"/>
      <x:c r="G386" s="54"/>
      <x:c r="H386" s="54"/>
      <x:c r="I386" s="54"/>
      <x:c r="J386" s="54"/>
      <x:c r="K386" s="54"/>
      <x:c r="L386" s="54"/>
      <x:c r="M386" s="54"/>
      <x:c r="N386" s="54"/>
      <x:c r="O386" s="57" t="str">
        <x:f>IF($C386="","",MAX(0,MIN(100,IFERROR(VLOOKUP($L386,'Lists &amp; Rules'!$P$5:$Q$8,2,FALSE),0)+IFERROR(VLOOKUP($N386,'Lists &amp; Rules'!$S$5:$T$7,2,FALSE),0)+IFERROR(VLOOKUP($M386,'Lists &amp; Rules'!$L$5:$N$13,3,FALSE),0)+IF($R386="Overdue",-10,IF($R386="Today",5,0))+MIN(15,$Z386*3))))</x:f>
      </x:c>
      <x:c r="P386" s="71" t="str">
        <x:f>IF($A386="","",IF(COUNTIF('Activity Log'!$C$6:$C$1005,$A386)=0,"",MAXIFS('Activity Log'!$B$6:$B$1005,'Activity Log'!$C$6:$C$1005,$A386)))</x:f>
      </x:c>
      <x:c r="Q386" s="71" t="str">
        <x:f>IF($A386="","",IF(COUNTIFS('Activity Log'!$C$6:$C$1005,$A386,'Activity Log'!$J$6:$J$1005,"No",'Activity Log'!$I$6:$I$1005,"&gt;0")=0,"",MINIFS('Activity Log'!$I$6:$I$1005,'Activity Log'!$C$6:$C$1005,$A386,'Activity Log'!$J$6:$J$1005,"No",'Activity Log'!$I$6:$I$1005,"&gt;0")))</x:f>
      </x:c>
      <x:c r="R386" s="57" t="str">
        <x:f>IF($C386="","",IF(OR($K386="Won",$K386="Lost",$K386="Disqualified"),"Closed",IF($Q386="","No date",IF(INT($Q386)&lt;TODAY(),"Overdue",IF(INT($Q386)=TODAY(),"Today",IF(INT($Q386)&lt;=TODAY()+7,"Next 7 days","Later"))))))</x:f>
      </x:c>
      <x:c r="S386" s="57" t="str">
        <x:f>IF(OR($C386="",$P386=""),"",TODAY()-INT($P386))</x:f>
      </x:c>
      <x:c r="T386" s="54"/>
      <x:c r="U386" s="54"/>
      <x:c r="V386" s="63"/>
      <x:c r="W386" s="74"/>
      <x:c r="X386" s="77" t="str">
        <x:f>IF($C386="","",IFERROR(VLOOKUP($M386,'Lists &amp; Rules'!$L$5:$N$13,2,FALSE),0))</x:f>
      </x:c>
      <x:c r="Y386" s="80" t="str">
        <x:f>IF(OR($C386="",$W386=""),"",ROUND($W386*$X386,0))</x:f>
      </x:c>
      <x:c r="Z386" s="57" t="str">
        <x:f>IF($A386="","",COUNTIF('Activity Log'!$C$6:$C$1005,$A386))</x:f>
      </x:c>
      <x:c r="AA386" s="68"/>
      <x:c r="AB386" s="63"/>
    </x:row>
    <x:row r="387">
      <x:c r="A387" s="54"/>
      <x:c r="B387" s="68"/>
      <x:c r="C387" s="54"/>
      <x:c r="D387" s="54"/>
      <x:c r="E387" s="54"/>
      <x:c r="F387" s="54"/>
      <x:c r="G387" s="54"/>
      <x:c r="H387" s="54"/>
      <x:c r="I387" s="54"/>
      <x:c r="J387" s="54"/>
      <x:c r="K387" s="54"/>
      <x:c r="L387" s="54"/>
      <x:c r="M387" s="54"/>
      <x:c r="N387" s="54"/>
      <x:c r="O387" s="57" t="str">
        <x:f>IF($C387="","",MAX(0,MIN(100,IFERROR(VLOOKUP($L387,'Lists &amp; Rules'!$P$5:$Q$8,2,FALSE),0)+IFERROR(VLOOKUP($N387,'Lists &amp; Rules'!$S$5:$T$7,2,FALSE),0)+IFERROR(VLOOKUP($M387,'Lists &amp; Rules'!$L$5:$N$13,3,FALSE),0)+IF($R387="Overdue",-10,IF($R387="Today",5,0))+MIN(15,$Z387*3))))</x:f>
      </x:c>
      <x:c r="P387" s="71" t="str">
        <x:f>IF($A387="","",IF(COUNTIF('Activity Log'!$C$6:$C$1005,$A387)=0,"",MAXIFS('Activity Log'!$B$6:$B$1005,'Activity Log'!$C$6:$C$1005,$A387)))</x:f>
      </x:c>
      <x:c r="Q387" s="71" t="str">
        <x:f>IF($A387="","",IF(COUNTIFS('Activity Log'!$C$6:$C$1005,$A387,'Activity Log'!$J$6:$J$1005,"No",'Activity Log'!$I$6:$I$1005,"&gt;0")=0,"",MINIFS('Activity Log'!$I$6:$I$1005,'Activity Log'!$C$6:$C$1005,$A387,'Activity Log'!$J$6:$J$1005,"No",'Activity Log'!$I$6:$I$1005,"&gt;0")))</x:f>
      </x:c>
      <x:c r="R387" s="57" t="str">
        <x:f>IF($C387="","",IF(OR($K387="Won",$K387="Lost",$K387="Disqualified"),"Closed",IF($Q387="","No date",IF(INT($Q387)&lt;TODAY(),"Overdue",IF(INT($Q387)=TODAY(),"Today",IF(INT($Q387)&lt;=TODAY()+7,"Next 7 days","Later"))))))</x:f>
      </x:c>
      <x:c r="S387" s="57" t="str">
        <x:f>IF(OR($C387="",$P387=""),"",TODAY()-INT($P387))</x:f>
      </x:c>
      <x:c r="T387" s="54"/>
      <x:c r="U387" s="54"/>
      <x:c r="V387" s="63"/>
      <x:c r="W387" s="74"/>
      <x:c r="X387" s="77" t="str">
        <x:f>IF($C387="","",IFERROR(VLOOKUP($M387,'Lists &amp; Rules'!$L$5:$N$13,2,FALSE),0))</x:f>
      </x:c>
      <x:c r="Y387" s="80" t="str">
        <x:f>IF(OR($C387="",$W387=""),"",ROUND($W387*$X387,0))</x:f>
      </x:c>
      <x:c r="Z387" s="57" t="str">
        <x:f>IF($A387="","",COUNTIF('Activity Log'!$C$6:$C$1005,$A387))</x:f>
      </x:c>
      <x:c r="AA387" s="68"/>
      <x:c r="AB387" s="63"/>
    </x:row>
    <x:row r="388">
      <x:c r="A388" s="54"/>
      <x:c r="B388" s="68"/>
      <x:c r="C388" s="54"/>
      <x:c r="D388" s="54"/>
      <x:c r="E388" s="54"/>
      <x:c r="F388" s="54"/>
      <x:c r="G388" s="54"/>
      <x:c r="H388" s="54"/>
      <x:c r="I388" s="54"/>
      <x:c r="J388" s="54"/>
      <x:c r="K388" s="54"/>
      <x:c r="L388" s="54"/>
      <x:c r="M388" s="54"/>
      <x:c r="N388" s="54"/>
      <x:c r="O388" s="57" t="str">
        <x:f>IF($C388="","",MAX(0,MIN(100,IFERROR(VLOOKUP($L388,'Lists &amp; Rules'!$P$5:$Q$8,2,FALSE),0)+IFERROR(VLOOKUP($N388,'Lists &amp; Rules'!$S$5:$T$7,2,FALSE),0)+IFERROR(VLOOKUP($M388,'Lists &amp; Rules'!$L$5:$N$13,3,FALSE),0)+IF($R388="Overdue",-10,IF($R388="Today",5,0))+MIN(15,$Z388*3))))</x:f>
      </x:c>
      <x:c r="P388" s="71" t="str">
        <x:f>IF($A388="","",IF(COUNTIF('Activity Log'!$C$6:$C$1005,$A388)=0,"",MAXIFS('Activity Log'!$B$6:$B$1005,'Activity Log'!$C$6:$C$1005,$A388)))</x:f>
      </x:c>
      <x:c r="Q388" s="71" t="str">
        <x:f>IF($A388="","",IF(COUNTIFS('Activity Log'!$C$6:$C$1005,$A388,'Activity Log'!$J$6:$J$1005,"No",'Activity Log'!$I$6:$I$1005,"&gt;0")=0,"",MINIFS('Activity Log'!$I$6:$I$1005,'Activity Log'!$C$6:$C$1005,$A388,'Activity Log'!$J$6:$J$1005,"No",'Activity Log'!$I$6:$I$1005,"&gt;0")))</x:f>
      </x:c>
      <x:c r="R388" s="57" t="str">
        <x:f>IF($C388="","",IF(OR($K388="Won",$K388="Lost",$K388="Disqualified"),"Closed",IF($Q388="","No date",IF(INT($Q388)&lt;TODAY(),"Overdue",IF(INT($Q388)=TODAY(),"Today",IF(INT($Q388)&lt;=TODAY()+7,"Next 7 days","Later"))))))</x:f>
      </x:c>
      <x:c r="S388" s="57" t="str">
        <x:f>IF(OR($C388="",$P388=""),"",TODAY()-INT($P388))</x:f>
      </x:c>
      <x:c r="T388" s="54"/>
      <x:c r="U388" s="54"/>
      <x:c r="V388" s="63"/>
      <x:c r="W388" s="74"/>
      <x:c r="X388" s="77" t="str">
        <x:f>IF($C388="","",IFERROR(VLOOKUP($M388,'Lists &amp; Rules'!$L$5:$N$13,2,FALSE),0))</x:f>
      </x:c>
      <x:c r="Y388" s="80" t="str">
        <x:f>IF(OR($C388="",$W388=""),"",ROUND($W388*$X388,0))</x:f>
      </x:c>
      <x:c r="Z388" s="57" t="str">
        <x:f>IF($A388="","",COUNTIF('Activity Log'!$C$6:$C$1005,$A388))</x:f>
      </x:c>
      <x:c r="AA388" s="68"/>
      <x:c r="AB388" s="63"/>
    </x:row>
    <x:row r="389">
      <x:c r="A389" s="54"/>
      <x:c r="B389" s="68"/>
      <x:c r="C389" s="54"/>
      <x:c r="D389" s="54"/>
      <x:c r="E389" s="54"/>
      <x:c r="F389" s="54"/>
      <x:c r="G389" s="54"/>
      <x:c r="H389" s="54"/>
      <x:c r="I389" s="54"/>
      <x:c r="J389" s="54"/>
      <x:c r="K389" s="54"/>
      <x:c r="L389" s="54"/>
      <x:c r="M389" s="54"/>
      <x:c r="N389" s="54"/>
      <x:c r="O389" s="57" t="str">
        <x:f>IF($C389="","",MAX(0,MIN(100,IFERROR(VLOOKUP($L389,'Lists &amp; Rules'!$P$5:$Q$8,2,FALSE),0)+IFERROR(VLOOKUP($N389,'Lists &amp; Rules'!$S$5:$T$7,2,FALSE),0)+IFERROR(VLOOKUP($M389,'Lists &amp; Rules'!$L$5:$N$13,3,FALSE),0)+IF($R389="Overdue",-10,IF($R389="Today",5,0))+MIN(15,$Z389*3))))</x:f>
      </x:c>
      <x:c r="P389" s="71" t="str">
        <x:f>IF($A389="","",IF(COUNTIF('Activity Log'!$C$6:$C$1005,$A389)=0,"",MAXIFS('Activity Log'!$B$6:$B$1005,'Activity Log'!$C$6:$C$1005,$A389)))</x:f>
      </x:c>
      <x:c r="Q389" s="71" t="str">
        <x:f>IF($A389="","",IF(COUNTIFS('Activity Log'!$C$6:$C$1005,$A389,'Activity Log'!$J$6:$J$1005,"No",'Activity Log'!$I$6:$I$1005,"&gt;0")=0,"",MINIFS('Activity Log'!$I$6:$I$1005,'Activity Log'!$C$6:$C$1005,$A389,'Activity Log'!$J$6:$J$1005,"No",'Activity Log'!$I$6:$I$1005,"&gt;0")))</x:f>
      </x:c>
      <x:c r="R389" s="57" t="str">
        <x:f>IF($C389="","",IF(OR($K389="Won",$K389="Lost",$K389="Disqualified"),"Closed",IF($Q389="","No date",IF(INT($Q389)&lt;TODAY(),"Overdue",IF(INT($Q389)=TODAY(),"Today",IF(INT($Q389)&lt;=TODAY()+7,"Next 7 days","Later"))))))</x:f>
      </x:c>
      <x:c r="S389" s="57" t="str">
        <x:f>IF(OR($C389="",$P389=""),"",TODAY()-INT($P389))</x:f>
      </x:c>
      <x:c r="T389" s="54"/>
      <x:c r="U389" s="54"/>
      <x:c r="V389" s="63"/>
      <x:c r="W389" s="74"/>
      <x:c r="X389" s="77" t="str">
        <x:f>IF($C389="","",IFERROR(VLOOKUP($M389,'Lists &amp; Rules'!$L$5:$N$13,2,FALSE),0))</x:f>
      </x:c>
      <x:c r="Y389" s="80" t="str">
        <x:f>IF(OR($C389="",$W389=""),"",ROUND($W389*$X389,0))</x:f>
      </x:c>
      <x:c r="Z389" s="57" t="str">
        <x:f>IF($A389="","",COUNTIF('Activity Log'!$C$6:$C$1005,$A389))</x:f>
      </x:c>
      <x:c r="AA389" s="68"/>
      <x:c r="AB389" s="63"/>
    </x:row>
    <x:row r="390">
      <x:c r="A390" s="54"/>
      <x:c r="B390" s="68"/>
      <x:c r="C390" s="54"/>
      <x:c r="D390" s="54"/>
      <x:c r="E390" s="54"/>
      <x:c r="F390" s="54"/>
      <x:c r="G390" s="54"/>
      <x:c r="H390" s="54"/>
      <x:c r="I390" s="54"/>
      <x:c r="J390" s="54"/>
      <x:c r="K390" s="54"/>
      <x:c r="L390" s="54"/>
      <x:c r="M390" s="54"/>
      <x:c r="N390" s="54"/>
      <x:c r="O390" s="57" t="str">
        <x:f>IF($C390="","",MAX(0,MIN(100,IFERROR(VLOOKUP($L390,'Lists &amp; Rules'!$P$5:$Q$8,2,FALSE),0)+IFERROR(VLOOKUP($N390,'Lists &amp; Rules'!$S$5:$T$7,2,FALSE),0)+IFERROR(VLOOKUP($M390,'Lists &amp; Rules'!$L$5:$N$13,3,FALSE),0)+IF($R390="Overdue",-10,IF($R390="Today",5,0))+MIN(15,$Z390*3))))</x:f>
      </x:c>
      <x:c r="P390" s="71" t="str">
        <x:f>IF($A390="","",IF(COUNTIF('Activity Log'!$C$6:$C$1005,$A390)=0,"",MAXIFS('Activity Log'!$B$6:$B$1005,'Activity Log'!$C$6:$C$1005,$A390)))</x:f>
      </x:c>
      <x:c r="Q390" s="71" t="str">
        <x:f>IF($A390="","",IF(COUNTIFS('Activity Log'!$C$6:$C$1005,$A390,'Activity Log'!$J$6:$J$1005,"No",'Activity Log'!$I$6:$I$1005,"&gt;0")=0,"",MINIFS('Activity Log'!$I$6:$I$1005,'Activity Log'!$C$6:$C$1005,$A390,'Activity Log'!$J$6:$J$1005,"No",'Activity Log'!$I$6:$I$1005,"&gt;0")))</x:f>
      </x:c>
      <x:c r="R390" s="57" t="str">
        <x:f>IF($C390="","",IF(OR($K390="Won",$K390="Lost",$K390="Disqualified"),"Closed",IF($Q390="","No date",IF(INT($Q390)&lt;TODAY(),"Overdue",IF(INT($Q390)=TODAY(),"Today",IF(INT($Q390)&lt;=TODAY()+7,"Next 7 days","Later"))))))</x:f>
      </x:c>
      <x:c r="S390" s="57" t="str">
        <x:f>IF(OR($C390="",$P390=""),"",TODAY()-INT($P390))</x:f>
      </x:c>
      <x:c r="T390" s="54"/>
      <x:c r="U390" s="54"/>
      <x:c r="V390" s="63"/>
      <x:c r="W390" s="74"/>
      <x:c r="X390" s="77" t="str">
        <x:f>IF($C390="","",IFERROR(VLOOKUP($M390,'Lists &amp; Rules'!$L$5:$N$13,2,FALSE),0))</x:f>
      </x:c>
      <x:c r="Y390" s="80" t="str">
        <x:f>IF(OR($C390="",$W390=""),"",ROUND($W390*$X390,0))</x:f>
      </x:c>
      <x:c r="Z390" s="57" t="str">
        <x:f>IF($A390="","",COUNTIF('Activity Log'!$C$6:$C$1005,$A390))</x:f>
      </x:c>
      <x:c r="AA390" s="68"/>
      <x:c r="AB390" s="63"/>
    </x:row>
    <x:row r="391">
      <x:c r="A391" s="54"/>
      <x:c r="B391" s="68"/>
      <x:c r="C391" s="54"/>
      <x:c r="D391" s="54"/>
      <x:c r="E391" s="54"/>
      <x:c r="F391" s="54"/>
      <x:c r="G391" s="54"/>
      <x:c r="H391" s="54"/>
      <x:c r="I391" s="54"/>
      <x:c r="J391" s="54"/>
      <x:c r="K391" s="54"/>
      <x:c r="L391" s="54"/>
      <x:c r="M391" s="54"/>
      <x:c r="N391" s="54"/>
      <x:c r="O391" s="57" t="str">
        <x:f>IF($C391="","",MAX(0,MIN(100,IFERROR(VLOOKUP($L391,'Lists &amp; Rules'!$P$5:$Q$8,2,FALSE),0)+IFERROR(VLOOKUP($N391,'Lists &amp; Rules'!$S$5:$T$7,2,FALSE),0)+IFERROR(VLOOKUP($M391,'Lists &amp; Rules'!$L$5:$N$13,3,FALSE),0)+IF($R391="Overdue",-10,IF($R391="Today",5,0))+MIN(15,$Z391*3))))</x:f>
      </x:c>
      <x:c r="P391" s="71" t="str">
        <x:f>IF($A391="","",IF(COUNTIF('Activity Log'!$C$6:$C$1005,$A391)=0,"",MAXIFS('Activity Log'!$B$6:$B$1005,'Activity Log'!$C$6:$C$1005,$A391)))</x:f>
      </x:c>
      <x:c r="Q391" s="71" t="str">
        <x:f>IF($A391="","",IF(COUNTIFS('Activity Log'!$C$6:$C$1005,$A391,'Activity Log'!$J$6:$J$1005,"No",'Activity Log'!$I$6:$I$1005,"&gt;0")=0,"",MINIFS('Activity Log'!$I$6:$I$1005,'Activity Log'!$C$6:$C$1005,$A391,'Activity Log'!$J$6:$J$1005,"No",'Activity Log'!$I$6:$I$1005,"&gt;0")))</x:f>
      </x:c>
      <x:c r="R391" s="57" t="str">
        <x:f>IF($C391="","",IF(OR($K391="Won",$K391="Lost",$K391="Disqualified"),"Closed",IF($Q391="","No date",IF(INT($Q391)&lt;TODAY(),"Overdue",IF(INT($Q391)=TODAY(),"Today",IF(INT($Q391)&lt;=TODAY()+7,"Next 7 days","Later"))))))</x:f>
      </x:c>
      <x:c r="S391" s="57" t="str">
        <x:f>IF(OR($C391="",$P391=""),"",TODAY()-INT($P391))</x:f>
      </x:c>
      <x:c r="T391" s="54"/>
      <x:c r="U391" s="54"/>
      <x:c r="V391" s="63"/>
      <x:c r="W391" s="74"/>
      <x:c r="X391" s="77" t="str">
        <x:f>IF($C391="","",IFERROR(VLOOKUP($M391,'Lists &amp; Rules'!$L$5:$N$13,2,FALSE),0))</x:f>
      </x:c>
      <x:c r="Y391" s="80" t="str">
        <x:f>IF(OR($C391="",$W391=""),"",ROUND($W391*$X391,0))</x:f>
      </x:c>
      <x:c r="Z391" s="57" t="str">
        <x:f>IF($A391="","",COUNTIF('Activity Log'!$C$6:$C$1005,$A391))</x:f>
      </x:c>
      <x:c r="AA391" s="68"/>
      <x:c r="AB391" s="63"/>
    </x:row>
    <x:row r="392">
      <x:c r="A392" s="54"/>
      <x:c r="B392" s="68"/>
      <x:c r="C392" s="54"/>
      <x:c r="D392" s="54"/>
      <x:c r="E392" s="54"/>
      <x:c r="F392" s="54"/>
      <x:c r="G392" s="54"/>
      <x:c r="H392" s="54"/>
      <x:c r="I392" s="54"/>
      <x:c r="J392" s="54"/>
      <x:c r="K392" s="54"/>
      <x:c r="L392" s="54"/>
      <x:c r="M392" s="54"/>
      <x:c r="N392" s="54"/>
      <x:c r="O392" s="57" t="str">
        <x:f>IF($C392="","",MAX(0,MIN(100,IFERROR(VLOOKUP($L392,'Lists &amp; Rules'!$P$5:$Q$8,2,FALSE),0)+IFERROR(VLOOKUP($N392,'Lists &amp; Rules'!$S$5:$T$7,2,FALSE),0)+IFERROR(VLOOKUP($M392,'Lists &amp; Rules'!$L$5:$N$13,3,FALSE),0)+IF($R392="Overdue",-10,IF($R392="Today",5,0))+MIN(15,$Z392*3))))</x:f>
      </x:c>
      <x:c r="P392" s="71" t="str">
        <x:f>IF($A392="","",IF(COUNTIF('Activity Log'!$C$6:$C$1005,$A392)=0,"",MAXIFS('Activity Log'!$B$6:$B$1005,'Activity Log'!$C$6:$C$1005,$A392)))</x:f>
      </x:c>
      <x:c r="Q392" s="71" t="str">
        <x:f>IF($A392="","",IF(COUNTIFS('Activity Log'!$C$6:$C$1005,$A392,'Activity Log'!$J$6:$J$1005,"No",'Activity Log'!$I$6:$I$1005,"&gt;0")=0,"",MINIFS('Activity Log'!$I$6:$I$1005,'Activity Log'!$C$6:$C$1005,$A392,'Activity Log'!$J$6:$J$1005,"No",'Activity Log'!$I$6:$I$1005,"&gt;0")))</x:f>
      </x:c>
      <x:c r="R392" s="57" t="str">
        <x:f>IF($C392="","",IF(OR($K392="Won",$K392="Lost",$K392="Disqualified"),"Closed",IF($Q392="","No date",IF(INT($Q392)&lt;TODAY(),"Overdue",IF(INT($Q392)=TODAY(),"Today",IF(INT($Q392)&lt;=TODAY()+7,"Next 7 days","Later"))))))</x:f>
      </x:c>
      <x:c r="S392" s="57" t="str">
        <x:f>IF(OR($C392="",$P392=""),"",TODAY()-INT($P392))</x:f>
      </x:c>
      <x:c r="T392" s="54"/>
      <x:c r="U392" s="54"/>
      <x:c r="V392" s="63"/>
      <x:c r="W392" s="74"/>
      <x:c r="X392" s="77" t="str">
        <x:f>IF($C392="","",IFERROR(VLOOKUP($M392,'Lists &amp; Rules'!$L$5:$N$13,2,FALSE),0))</x:f>
      </x:c>
      <x:c r="Y392" s="80" t="str">
        <x:f>IF(OR($C392="",$W392=""),"",ROUND($W392*$X392,0))</x:f>
      </x:c>
      <x:c r="Z392" s="57" t="str">
        <x:f>IF($A392="","",COUNTIF('Activity Log'!$C$6:$C$1005,$A392))</x:f>
      </x:c>
      <x:c r="AA392" s="68"/>
      <x:c r="AB392" s="63"/>
    </x:row>
    <x:row r="393">
      <x:c r="A393" s="54"/>
      <x:c r="B393" s="68"/>
      <x:c r="C393" s="54"/>
      <x:c r="D393" s="54"/>
      <x:c r="E393" s="54"/>
      <x:c r="F393" s="54"/>
      <x:c r="G393" s="54"/>
      <x:c r="H393" s="54"/>
      <x:c r="I393" s="54"/>
      <x:c r="J393" s="54"/>
      <x:c r="K393" s="54"/>
      <x:c r="L393" s="54"/>
      <x:c r="M393" s="54"/>
      <x:c r="N393" s="54"/>
      <x:c r="O393" s="57" t="str">
        <x:f>IF($C393="","",MAX(0,MIN(100,IFERROR(VLOOKUP($L393,'Lists &amp; Rules'!$P$5:$Q$8,2,FALSE),0)+IFERROR(VLOOKUP($N393,'Lists &amp; Rules'!$S$5:$T$7,2,FALSE),0)+IFERROR(VLOOKUP($M393,'Lists &amp; Rules'!$L$5:$N$13,3,FALSE),0)+IF($R393="Overdue",-10,IF($R393="Today",5,0))+MIN(15,$Z393*3))))</x:f>
      </x:c>
      <x:c r="P393" s="71" t="str">
        <x:f>IF($A393="","",IF(COUNTIF('Activity Log'!$C$6:$C$1005,$A393)=0,"",MAXIFS('Activity Log'!$B$6:$B$1005,'Activity Log'!$C$6:$C$1005,$A393)))</x:f>
      </x:c>
      <x:c r="Q393" s="71" t="str">
        <x:f>IF($A393="","",IF(COUNTIFS('Activity Log'!$C$6:$C$1005,$A393,'Activity Log'!$J$6:$J$1005,"No",'Activity Log'!$I$6:$I$1005,"&gt;0")=0,"",MINIFS('Activity Log'!$I$6:$I$1005,'Activity Log'!$C$6:$C$1005,$A393,'Activity Log'!$J$6:$J$1005,"No",'Activity Log'!$I$6:$I$1005,"&gt;0")))</x:f>
      </x:c>
      <x:c r="R393" s="57" t="str">
        <x:f>IF($C393="","",IF(OR($K393="Won",$K393="Lost",$K393="Disqualified"),"Closed",IF($Q393="","No date",IF(INT($Q393)&lt;TODAY(),"Overdue",IF(INT($Q393)=TODAY(),"Today",IF(INT($Q393)&lt;=TODAY()+7,"Next 7 days","Later"))))))</x:f>
      </x:c>
      <x:c r="S393" s="57" t="str">
        <x:f>IF(OR($C393="",$P393=""),"",TODAY()-INT($P393))</x:f>
      </x:c>
      <x:c r="T393" s="54"/>
      <x:c r="U393" s="54"/>
      <x:c r="V393" s="63"/>
      <x:c r="W393" s="74"/>
      <x:c r="X393" s="77" t="str">
        <x:f>IF($C393="","",IFERROR(VLOOKUP($M393,'Lists &amp; Rules'!$L$5:$N$13,2,FALSE),0))</x:f>
      </x:c>
      <x:c r="Y393" s="80" t="str">
        <x:f>IF(OR($C393="",$W393=""),"",ROUND($W393*$X393,0))</x:f>
      </x:c>
      <x:c r="Z393" s="57" t="str">
        <x:f>IF($A393="","",COUNTIF('Activity Log'!$C$6:$C$1005,$A393))</x:f>
      </x:c>
      <x:c r="AA393" s="68"/>
      <x:c r="AB393" s="63"/>
    </x:row>
    <x:row r="394">
      <x:c r="A394" s="54"/>
      <x:c r="B394" s="68"/>
      <x:c r="C394" s="54"/>
      <x:c r="D394" s="54"/>
      <x:c r="E394" s="54"/>
      <x:c r="F394" s="54"/>
      <x:c r="G394" s="54"/>
      <x:c r="H394" s="54"/>
      <x:c r="I394" s="54"/>
      <x:c r="J394" s="54"/>
      <x:c r="K394" s="54"/>
      <x:c r="L394" s="54"/>
      <x:c r="M394" s="54"/>
      <x:c r="N394" s="54"/>
      <x:c r="O394" s="57" t="str">
        <x:f>IF($C394="","",MAX(0,MIN(100,IFERROR(VLOOKUP($L394,'Lists &amp; Rules'!$P$5:$Q$8,2,FALSE),0)+IFERROR(VLOOKUP($N394,'Lists &amp; Rules'!$S$5:$T$7,2,FALSE),0)+IFERROR(VLOOKUP($M394,'Lists &amp; Rules'!$L$5:$N$13,3,FALSE),0)+IF($R394="Overdue",-10,IF($R394="Today",5,0))+MIN(15,$Z394*3))))</x:f>
      </x:c>
      <x:c r="P394" s="71" t="str">
        <x:f>IF($A394="","",IF(COUNTIF('Activity Log'!$C$6:$C$1005,$A394)=0,"",MAXIFS('Activity Log'!$B$6:$B$1005,'Activity Log'!$C$6:$C$1005,$A394)))</x:f>
      </x:c>
      <x:c r="Q394" s="71" t="str">
        <x:f>IF($A394="","",IF(COUNTIFS('Activity Log'!$C$6:$C$1005,$A394,'Activity Log'!$J$6:$J$1005,"No",'Activity Log'!$I$6:$I$1005,"&gt;0")=0,"",MINIFS('Activity Log'!$I$6:$I$1005,'Activity Log'!$C$6:$C$1005,$A394,'Activity Log'!$J$6:$J$1005,"No",'Activity Log'!$I$6:$I$1005,"&gt;0")))</x:f>
      </x:c>
      <x:c r="R394" s="57" t="str">
        <x:f>IF($C394="","",IF(OR($K394="Won",$K394="Lost",$K394="Disqualified"),"Closed",IF($Q394="","No date",IF(INT($Q394)&lt;TODAY(),"Overdue",IF(INT($Q394)=TODAY(),"Today",IF(INT($Q394)&lt;=TODAY()+7,"Next 7 days","Later"))))))</x:f>
      </x:c>
      <x:c r="S394" s="57" t="str">
        <x:f>IF(OR($C394="",$P394=""),"",TODAY()-INT($P394))</x:f>
      </x:c>
      <x:c r="T394" s="54"/>
      <x:c r="U394" s="54"/>
      <x:c r="V394" s="63"/>
      <x:c r="W394" s="74"/>
      <x:c r="X394" s="77" t="str">
        <x:f>IF($C394="","",IFERROR(VLOOKUP($M394,'Lists &amp; Rules'!$L$5:$N$13,2,FALSE),0))</x:f>
      </x:c>
      <x:c r="Y394" s="80" t="str">
        <x:f>IF(OR($C394="",$W394=""),"",ROUND($W394*$X394,0))</x:f>
      </x:c>
      <x:c r="Z394" s="57" t="str">
        <x:f>IF($A394="","",COUNTIF('Activity Log'!$C$6:$C$1005,$A394))</x:f>
      </x:c>
      <x:c r="AA394" s="68"/>
      <x:c r="AB394" s="63"/>
    </x:row>
    <x:row r="395">
      <x:c r="A395" s="54"/>
      <x:c r="B395" s="68"/>
      <x:c r="C395" s="54"/>
      <x:c r="D395" s="54"/>
      <x:c r="E395" s="54"/>
      <x:c r="F395" s="54"/>
      <x:c r="G395" s="54"/>
      <x:c r="H395" s="54"/>
      <x:c r="I395" s="54"/>
      <x:c r="J395" s="54"/>
      <x:c r="K395" s="54"/>
      <x:c r="L395" s="54"/>
      <x:c r="M395" s="54"/>
      <x:c r="N395" s="54"/>
      <x:c r="O395" s="57" t="str">
        <x:f>IF($C395="","",MAX(0,MIN(100,IFERROR(VLOOKUP($L395,'Lists &amp; Rules'!$P$5:$Q$8,2,FALSE),0)+IFERROR(VLOOKUP($N395,'Lists &amp; Rules'!$S$5:$T$7,2,FALSE),0)+IFERROR(VLOOKUP($M395,'Lists &amp; Rules'!$L$5:$N$13,3,FALSE),0)+IF($R395="Overdue",-10,IF($R395="Today",5,0))+MIN(15,$Z395*3))))</x:f>
      </x:c>
      <x:c r="P395" s="71" t="str">
        <x:f>IF($A395="","",IF(COUNTIF('Activity Log'!$C$6:$C$1005,$A395)=0,"",MAXIFS('Activity Log'!$B$6:$B$1005,'Activity Log'!$C$6:$C$1005,$A395)))</x:f>
      </x:c>
      <x:c r="Q395" s="71" t="str">
        <x:f>IF($A395="","",IF(COUNTIFS('Activity Log'!$C$6:$C$1005,$A395,'Activity Log'!$J$6:$J$1005,"No",'Activity Log'!$I$6:$I$1005,"&gt;0")=0,"",MINIFS('Activity Log'!$I$6:$I$1005,'Activity Log'!$C$6:$C$1005,$A395,'Activity Log'!$J$6:$J$1005,"No",'Activity Log'!$I$6:$I$1005,"&gt;0")))</x:f>
      </x:c>
      <x:c r="R395" s="57" t="str">
        <x:f>IF($C395="","",IF(OR($K395="Won",$K395="Lost",$K395="Disqualified"),"Closed",IF($Q395="","No date",IF(INT($Q395)&lt;TODAY(),"Overdue",IF(INT($Q395)=TODAY(),"Today",IF(INT($Q395)&lt;=TODAY()+7,"Next 7 days","Later"))))))</x:f>
      </x:c>
      <x:c r="S395" s="57" t="str">
        <x:f>IF(OR($C395="",$P395=""),"",TODAY()-INT($P395))</x:f>
      </x:c>
      <x:c r="T395" s="54"/>
      <x:c r="U395" s="54"/>
      <x:c r="V395" s="63"/>
      <x:c r="W395" s="74"/>
      <x:c r="X395" s="77" t="str">
        <x:f>IF($C395="","",IFERROR(VLOOKUP($M395,'Lists &amp; Rules'!$L$5:$N$13,2,FALSE),0))</x:f>
      </x:c>
      <x:c r="Y395" s="80" t="str">
        <x:f>IF(OR($C395="",$W395=""),"",ROUND($W395*$X395,0))</x:f>
      </x:c>
      <x:c r="Z395" s="57" t="str">
        <x:f>IF($A395="","",COUNTIF('Activity Log'!$C$6:$C$1005,$A395))</x:f>
      </x:c>
      <x:c r="AA395" s="68"/>
      <x:c r="AB395" s="63"/>
    </x:row>
    <x:row r="396">
      <x:c r="A396" s="54"/>
      <x:c r="B396" s="68"/>
      <x:c r="C396" s="54"/>
      <x:c r="D396" s="54"/>
      <x:c r="E396" s="54"/>
      <x:c r="F396" s="54"/>
      <x:c r="G396" s="54"/>
      <x:c r="H396" s="54"/>
      <x:c r="I396" s="54"/>
      <x:c r="J396" s="54"/>
      <x:c r="K396" s="54"/>
      <x:c r="L396" s="54"/>
      <x:c r="M396" s="54"/>
      <x:c r="N396" s="54"/>
      <x:c r="O396" s="57" t="str">
        <x:f>IF($C396="","",MAX(0,MIN(100,IFERROR(VLOOKUP($L396,'Lists &amp; Rules'!$P$5:$Q$8,2,FALSE),0)+IFERROR(VLOOKUP($N396,'Lists &amp; Rules'!$S$5:$T$7,2,FALSE),0)+IFERROR(VLOOKUP($M396,'Lists &amp; Rules'!$L$5:$N$13,3,FALSE),0)+IF($R396="Overdue",-10,IF($R396="Today",5,0))+MIN(15,$Z396*3))))</x:f>
      </x:c>
      <x:c r="P396" s="71" t="str">
        <x:f>IF($A396="","",IF(COUNTIF('Activity Log'!$C$6:$C$1005,$A396)=0,"",MAXIFS('Activity Log'!$B$6:$B$1005,'Activity Log'!$C$6:$C$1005,$A396)))</x:f>
      </x:c>
      <x:c r="Q396" s="71" t="str">
        <x:f>IF($A396="","",IF(COUNTIFS('Activity Log'!$C$6:$C$1005,$A396,'Activity Log'!$J$6:$J$1005,"No",'Activity Log'!$I$6:$I$1005,"&gt;0")=0,"",MINIFS('Activity Log'!$I$6:$I$1005,'Activity Log'!$C$6:$C$1005,$A396,'Activity Log'!$J$6:$J$1005,"No",'Activity Log'!$I$6:$I$1005,"&gt;0")))</x:f>
      </x:c>
      <x:c r="R396" s="57" t="str">
        <x:f>IF($C396="","",IF(OR($K396="Won",$K396="Lost",$K396="Disqualified"),"Closed",IF($Q396="","No date",IF(INT($Q396)&lt;TODAY(),"Overdue",IF(INT($Q396)=TODAY(),"Today",IF(INT($Q396)&lt;=TODAY()+7,"Next 7 days","Later"))))))</x:f>
      </x:c>
      <x:c r="S396" s="57" t="str">
        <x:f>IF(OR($C396="",$P396=""),"",TODAY()-INT($P396))</x:f>
      </x:c>
      <x:c r="T396" s="54"/>
      <x:c r="U396" s="54"/>
      <x:c r="V396" s="63"/>
      <x:c r="W396" s="74"/>
      <x:c r="X396" s="77" t="str">
        <x:f>IF($C396="","",IFERROR(VLOOKUP($M396,'Lists &amp; Rules'!$L$5:$N$13,2,FALSE),0))</x:f>
      </x:c>
      <x:c r="Y396" s="80" t="str">
        <x:f>IF(OR($C396="",$W396=""),"",ROUND($W396*$X396,0))</x:f>
      </x:c>
      <x:c r="Z396" s="57" t="str">
        <x:f>IF($A396="","",COUNTIF('Activity Log'!$C$6:$C$1005,$A396))</x:f>
      </x:c>
      <x:c r="AA396" s="68"/>
      <x:c r="AB396" s="63"/>
    </x:row>
    <x:row r="397">
      <x:c r="A397" s="54"/>
      <x:c r="B397" s="68"/>
      <x:c r="C397" s="54"/>
      <x:c r="D397" s="54"/>
      <x:c r="E397" s="54"/>
      <x:c r="F397" s="54"/>
      <x:c r="G397" s="54"/>
      <x:c r="H397" s="54"/>
      <x:c r="I397" s="54"/>
      <x:c r="J397" s="54"/>
      <x:c r="K397" s="54"/>
      <x:c r="L397" s="54"/>
      <x:c r="M397" s="54"/>
      <x:c r="N397" s="54"/>
      <x:c r="O397" s="57" t="str">
        <x:f>IF($C397="","",MAX(0,MIN(100,IFERROR(VLOOKUP($L397,'Lists &amp; Rules'!$P$5:$Q$8,2,FALSE),0)+IFERROR(VLOOKUP($N397,'Lists &amp; Rules'!$S$5:$T$7,2,FALSE),0)+IFERROR(VLOOKUP($M397,'Lists &amp; Rules'!$L$5:$N$13,3,FALSE),0)+IF($R397="Overdue",-10,IF($R397="Today",5,0))+MIN(15,$Z397*3))))</x:f>
      </x:c>
      <x:c r="P397" s="71" t="str">
        <x:f>IF($A397="","",IF(COUNTIF('Activity Log'!$C$6:$C$1005,$A397)=0,"",MAXIFS('Activity Log'!$B$6:$B$1005,'Activity Log'!$C$6:$C$1005,$A397)))</x:f>
      </x:c>
      <x:c r="Q397" s="71" t="str">
        <x:f>IF($A397="","",IF(COUNTIFS('Activity Log'!$C$6:$C$1005,$A397,'Activity Log'!$J$6:$J$1005,"No",'Activity Log'!$I$6:$I$1005,"&gt;0")=0,"",MINIFS('Activity Log'!$I$6:$I$1005,'Activity Log'!$C$6:$C$1005,$A397,'Activity Log'!$J$6:$J$1005,"No",'Activity Log'!$I$6:$I$1005,"&gt;0")))</x:f>
      </x:c>
      <x:c r="R397" s="57" t="str">
        <x:f>IF($C397="","",IF(OR($K397="Won",$K397="Lost",$K397="Disqualified"),"Closed",IF($Q397="","No date",IF(INT($Q397)&lt;TODAY(),"Overdue",IF(INT($Q397)=TODAY(),"Today",IF(INT($Q397)&lt;=TODAY()+7,"Next 7 days","Later"))))))</x:f>
      </x:c>
      <x:c r="S397" s="57" t="str">
        <x:f>IF(OR($C397="",$P397=""),"",TODAY()-INT($P397))</x:f>
      </x:c>
      <x:c r="T397" s="54"/>
      <x:c r="U397" s="54"/>
      <x:c r="V397" s="63"/>
      <x:c r="W397" s="74"/>
      <x:c r="X397" s="77" t="str">
        <x:f>IF($C397="","",IFERROR(VLOOKUP($M397,'Lists &amp; Rules'!$L$5:$N$13,2,FALSE),0))</x:f>
      </x:c>
      <x:c r="Y397" s="80" t="str">
        <x:f>IF(OR($C397="",$W397=""),"",ROUND($W397*$X397,0))</x:f>
      </x:c>
      <x:c r="Z397" s="57" t="str">
        <x:f>IF($A397="","",COUNTIF('Activity Log'!$C$6:$C$1005,$A397))</x:f>
      </x:c>
      <x:c r="AA397" s="68"/>
      <x:c r="AB397" s="63"/>
    </x:row>
    <x:row r="398">
      <x:c r="A398" s="54"/>
      <x:c r="B398" s="68"/>
      <x:c r="C398" s="54"/>
      <x:c r="D398" s="54"/>
      <x:c r="E398" s="54"/>
      <x:c r="F398" s="54"/>
      <x:c r="G398" s="54"/>
      <x:c r="H398" s="54"/>
      <x:c r="I398" s="54"/>
      <x:c r="J398" s="54"/>
      <x:c r="K398" s="54"/>
      <x:c r="L398" s="54"/>
      <x:c r="M398" s="54"/>
      <x:c r="N398" s="54"/>
      <x:c r="O398" s="57" t="str">
        <x:f>IF($C398="","",MAX(0,MIN(100,IFERROR(VLOOKUP($L398,'Lists &amp; Rules'!$P$5:$Q$8,2,FALSE),0)+IFERROR(VLOOKUP($N398,'Lists &amp; Rules'!$S$5:$T$7,2,FALSE),0)+IFERROR(VLOOKUP($M398,'Lists &amp; Rules'!$L$5:$N$13,3,FALSE),0)+IF($R398="Overdue",-10,IF($R398="Today",5,0))+MIN(15,$Z398*3))))</x:f>
      </x:c>
      <x:c r="P398" s="71" t="str">
        <x:f>IF($A398="","",IF(COUNTIF('Activity Log'!$C$6:$C$1005,$A398)=0,"",MAXIFS('Activity Log'!$B$6:$B$1005,'Activity Log'!$C$6:$C$1005,$A398)))</x:f>
      </x:c>
      <x:c r="Q398" s="71" t="str">
        <x:f>IF($A398="","",IF(COUNTIFS('Activity Log'!$C$6:$C$1005,$A398,'Activity Log'!$J$6:$J$1005,"No",'Activity Log'!$I$6:$I$1005,"&gt;0")=0,"",MINIFS('Activity Log'!$I$6:$I$1005,'Activity Log'!$C$6:$C$1005,$A398,'Activity Log'!$J$6:$J$1005,"No",'Activity Log'!$I$6:$I$1005,"&gt;0")))</x:f>
      </x:c>
      <x:c r="R398" s="57" t="str">
        <x:f>IF($C398="","",IF(OR($K398="Won",$K398="Lost",$K398="Disqualified"),"Closed",IF($Q398="","No date",IF(INT($Q398)&lt;TODAY(),"Overdue",IF(INT($Q398)=TODAY(),"Today",IF(INT($Q398)&lt;=TODAY()+7,"Next 7 days","Later"))))))</x:f>
      </x:c>
      <x:c r="S398" s="57" t="str">
        <x:f>IF(OR($C398="",$P398=""),"",TODAY()-INT($P398))</x:f>
      </x:c>
      <x:c r="T398" s="54"/>
      <x:c r="U398" s="54"/>
      <x:c r="V398" s="63"/>
      <x:c r="W398" s="74"/>
      <x:c r="X398" s="77" t="str">
        <x:f>IF($C398="","",IFERROR(VLOOKUP($M398,'Lists &amp; Rules'!$L$5:$N$13,2,FALSE),0))</x:f>
      </x:c>
      <x:c r="Y398" s="80" t="str">
        <x:f>IF(OR($C398="",$W398=""),"",ROUND($W398*$X398,0))</x:f>
      </x:c>
      <x:c r="Z398" s="57" t="str">
        <x:f>IF($A398="","",COUNTIF('Activity Log'!$C$6:$C$1005,$A398))</x:f>
      </x:c>
      <x:c r="AA398" s="68"/>
      <x:c r="AB398" s="63"/>
    </x:row>
    <x:row r="399">
      <x:c r="A399" s="54"/>
      <x:c r="B399" s="68"/>
      <x:c r="C399" s="54"/>
      <x:c r="D399" s="54"/>
      <x:c r="E399" s="54"/>
      <x:c r="F399" s="54"/>
      <x:c r="G399" s="54"/>
      <x:c r="H399" s="54"/>
      <x:c r="I399" s="54"/>
      <x:c r="J399" s="54"/>
      <x:c r="K399" s="54"/>
      <x:c r="L399" s="54"/>
      <x:c r="M399" s="54"/>
      <x:c r="N399" s="54"/>
      <x:c r="O399" s="57" t="str">
        <x:f>IF($C399="","",MAX(0,MIN(100,IFERROR(VLOOKUP($L399,'Lists &amp; Rules'!$P$5:$Q$8,2,FALSE),0)+IFERROR(VLOOKUP($N399,'Lists &amp; Rules'!$S$5:$T$7,2,FALSE),0)+IFERROR(VLOOKUP($M399,'Lists &amp; Rules'!$L$5:$N$13,3,FALSE),0)+IF($R399="Overdue",-10,IF($R399="Today",5,0))+MIN(15,$Z399*3))))</x:f>
      </x:c>
      <x:c r="P399" s="71" t="str">
        <x:f>IF($A399="","",IF(COUNTIF('Activity Log'!$C$6:$C$1005,$A399)=0,"",MAXIFS('Activity Log'!$B$6:$B$1005,'Activity Log'!$C$6:$C$1005,$A399)))</x:f>
      </x:c>
      <x:c r="Q399" s="71" t="str">
        <x:f>IF($A399="","",IF(COUNTIFS('Activity Log'!$C$6:$C$1005,$A399,'Activity Log'!$J$6:$J$1005,"No",'Activity Log'!$I$6:$I$1005,"&gt;0")=0,"",MINIFS('Activity Log'!$I$6:$I$1005,'Activity Log'!$C$6:$C$1005,$A399,'Activity Log'!$J$6:$J$1005,"No",'Activity Log'!$I$6:$I$1005,"&gt;0")))</x:f>
      </x:c>
      <x:c r="R399" s="57" t="str">
        <x:f>IF($C399="","",IF(OR($K399="Won",$K399="Lost",$K399="Disqualified"),"Closed",IF($Q399="","No date",IF(INT($Q399)&lt;TODAY(),"Overdue",IF(INT($Q399)=TODAY(),"Today",IF(INT($Q399)&lt;=TODAY()+7,"Next 7 days","Later"))))))</x:f>
      </x:c>
      <x:c r="S399" s="57" t="str">
        <x:f>IF(OR($C399="",$P399=""),"",TODAY()-INT($P399))</x:f>
      </x:c>
      <x:c r="T399" s="54"/>
      <x:c r="U399" s="54"/>
      <x:c r="V399" s="63"/>
      <x:c r="W399" s="74"/>
      <x:c r="X399" s="77" t="str">
        <x:f>IF($C399="","",IFERROR(VLOOKUP($M399,'Lists &amp; Rules'!$L$5:$N$13,2,FALSE),0))</x:f>
      </x:c>
      <x:c r="Y399" s="80" t="str">
        <x:f>IF(OR($C399="",$W399=""),"",ROUND($W399*$X399,0))</x:f>
      </x:c>
      <x:c r="Z399" s="57" t="str">
        <x:f>IF($A399="","",COUNTIF('Activity Log'!$C$6:$C$1005,$A399))</x:f>
      </x:c>
      <x:c r="AA399" s="68"/>
      <x:c r="AB399" s="63"/>
    </x:row>
    <x:row r="400">
      <x:c r="A400" s="54"/>
      <x:c r="B400" s="68"/>
      <x:c r="C400" s="54"/>
      <x:c r="D400" s="54"/>
      <x:c r="E400" s="54"/>
      <x:c r="F400" s="54"/>
      <x:c r="G400" s="54"/>
      <x:c r="H400" s="54"/>
      <x:c r="I400" s="54"/>
      <x:c r="J400" s="54"/>
      <x:c r="K400" s="54"/>
      <x:c r="L400" s="54"/>
      <x:c r="M400" s="54"/>
      <x:c r="N400" s="54"/>
      <x:c r="O400" s="57" t="str">
        <x:f>IF($C400="","",MAX(0,MIN(100,IFERROR(VLOOKUP($L400,'Lists &amp; Rules'!$P$5:$Q$8,2,FALSE),0)+IFERROR(VLOOKUP($N400,'Lists &amp; Rules'!$S$5:$T$7,2,FALSE),0)+IFERROR(VLOOKUP($M400,'Lists &amp; Rules'!$L$5:$N$13,3,FALSE),0)+IF($R400="Overdue",-10,IF($R400="Today",5,0))+MIN(15,$Z400*3))))</x:f>
      </x:c>
      <x:c r="P400" s="71" t="str">
        <x:f>IF($A400="","",IF(COUNTIF('Activity Log'!$C$6:$C$1005,$A400)=0,"",MAXIFS('Activity Log'!$B$6:$B$1005,'Activity Log'!$C$6:$C$1005,$A400)))</x:f>
      </x:c>
      <x:c r="Q400" s="71" t="str">
        <x:f>IF($A400="","",IF(COUNTIFS('Activity Log'!$C$6:$C$1005,$A400,'Activity Log'!$J$6:$J$1005,"No",'Activity Log'!$I$6:$I$1005,"&gt;0")=0,"",MINIFS('Activity Log'!$I$6:$I$1005,'Activity Log'!$C$6:$C$1005,$A400,'Activity Log'!$J$6:$J$1005,"No",'Activity Log'!$I$6:$I$1005,"&gt;0")))</x:f>
      </x:c>
      <x:c r="R400" s="57" t="str">
        <x:f>IF($C400="","",IF(OR($K400="Won",$K400="Lost",$K400="Disqualified"),"Closed",IF($Q400="","No date",IF(INT($Q400)&lt;TODAY(),"Overdue",IF(INT($Q400)=TODAY(),"Today",IF(INT($Q400)&lt;=TODAY()+7,"Next 7 days","Later"))))))</x:f>
      </x:c>
      <x:c r="S400" s="57" t="str">
        <x:f>IF(OR($C400="",$P400=""),"",TODAY()-INT($P400))</x:f>
      </x:c>
      <x:c r="T400" s="54"/>
      <x:c r="U400" s="54"/>
      <x:c r="V400" s="63"/>
      <x:c r="W400" s="74"/>
      <x:c r="X400" s="77" t="str">
        <x:f>IF($C400="","",IFERROR(VLOOKUP($M400,'Lists &amp; Rules'!$L$5:$N$13,2,FALSE),0))</x:f>
      </x:c>
      <x:c r="Y400" s="80" t="str">
        <x:f>IF(OR($C400="",$W400=""),"",ROUND($W400*$X400,0))</x:f>
      </x:c>
      <x:c r="Z400" s="57" t="str">
        <x:f>IF($A400="","",COUNTIF('Activity Log'!$C$6:$C$1005,$A400))</x:f>
      </x:c>
      <x:c r="AA400" s="68"/>
      <x:c r="AB400" s="63"/>
    </x:row>
    <x:row r="401">
      <x:c r="A401" s="54"/>
      <x:c r="B401" s="68"/>
      <x:c r="C401" s="54"/>
      <x:c r="D401" s="54"/>
      <x:c r="E401" s="54"/>
      <x:c r="F401" s="54"/>
      <x:c r="G401" s="54"/>
      <x:c r="H401" s="54"/>
      <x:c r="I401" s="54"/>
      <x:c r="J401" s="54"/>
      <x:c r="K401" s="54"/>
      <x:c r="L401" s="54"/>
      <x:c r="M401" s="54"/>
      <x:c r="N401" s="54"/>
      <x:c r="O401" s="57" t="str">
        <x:f>IF($C401="","",MAX(0,MIN(100,IFERROR(VLOOKUP($L401,'Lists &amp; Rules'!$P$5:$Q$8,2,FALSE),0)+IFERROR(VLOOKUP($N401,'Lists &amp; Rules'!$S$5:$T$7,2,FALSE),0)+IFERROR(VLOOKUP($M401,'Lists &amp; Rules'!$L$5:$N$13,3,FALSE),0)+IF($R401="Overdue",-10,IF($R401="Today",5,0))+MIN(15,$Z401*3))))</x:f>
      </x:c>
      <x:c r="P401" s="71" t="str">
        <x:f>IF($A401="","",IF(COUNTIF('Activity Log'!$C$6:$C$1005,$A401)=0,"",MAXIFS('Activity Log'!$B$6:$B$1005,'Activity Log'!$C$6:$C$1005,$A401)))</x:f>
      </x:c>
      <x:c r="Q401" s="71" t="str">
        <x:f>IF($A401="","",IF(COUNTIFS('Activity Log'!$C$6:$C$1005,$A401,'Activity Log'!$J$6:$J$1005,"No",'Activity Log'!$I$6:$I$1005,"&gt;0")=0,"",MINIFS('Activity Log'!$I$6:$I$1005,'Activity Log'!$C$6:$C$1005,$A401,'Activity Log'!$J$6:$J$1005,"No",'Activity Log'!$I$6:$I$1005,"&gt;0")))</x:f>
      </x:c>
      <x:c r="R401" s="57" t="str">
        <x:f>IF($C401="","",IF(OR($K401="Won",$K401="Lost",$K401="Disqualified"),"Closed",IF($Q401="","No date",IF(INT($Q401)&lt;TODAY(),"Overdue",IF(INT($Q401)=TODAY(),"Today",IF(INT($Q401)&lt;=TODAY()+7,"Next 7 days","Later"))))))</x:f>
      </x:c>
      <x:c r="S401" s="57" t="str">
        <x:f>IF(OR($C401="",$P401=""),"",TODAY()-INT($P401))</x:f>
      </x:c>
      <x:c r="T401" s="54"/>
      <x:c r="U401" s="54"/>
      <x:c r="V401" s="63"/>
      <x:c r="W401" s="74"/>
      <x:c r="X401" s="77" t="str">
        <x:f>IF($C401="","",IFERROR(VLOOKUP($M401,'Lists &amp; Rules'!$L$5:$N$13,2,FALSE),0))</x:f>
      </x:c>
      <x:c r="Y401" s="80" t="str">
        <x:f>IF(OR($C401="",$W401=""),"",ROUND($W401*$X401,0))</x:f>
      </x:c>
      <x:c r="Z401" s="57" t="str">
        <x:f>IF($A401="","",COUNTIF('Activity Log'!$C$6:$C$1005,$A401))</x:f>
      </x:c>
      <x:c r="AA401" s="68"/>
      <x:c r="AB401" s="63"/>
    </x:row>
    <x:row r="402">
      <x:c r="A402" s="54"/>
      <x:c r="B402" s="68"/>
      <x:c r="C402" s="54"/>
      <x:c r="D402" s="54"/>
      <x:c r="E402" s="54"/>
      <x:c r="F402" s="54"/>
      <x:c r="G402" s="54"/>
      <x:c r="H402" s="54"/>
      <x:c r="I402" s="54"/>
      <x:c r="J402" s="54"/>
      <x:c r="K402" s="54"/>
      <x:c r="L402" s="54"/>
      <x:c r="M402" s="54"/>
      <x:c r="N402" s="54"/>
      <x:c r="O402" s="57" t="str">
        <x:f>IF($C402="","",MAX(0,MIN(100,IFERROR(VLOOKUP($L402,'Lists &amp; Rules'!$P$5:$Q$8,2,FALSE),0)+IFERROR(VLOOKUP($N402,'Lists &amp; Rules'!$S$5:$T$7,2,FALSE),0)+IFERROR(VLOOKUP($M402,'Lists &amp; Rules'!$L$5:$N$13,3,FALSE),0)+IF($R402="Overdue",-10,IF($R402="Today",5,0))+MIN(15,$Z402*3))))</x:f>
      </x:c>
      <x:c r="P402" s="71" t="str">
        <x:f>IF($A402="","",IF(COUNTIF('Activity Log'!$C$6:$C$1005,$A402)=0,"",MAXIFS('Activity Log'!$B$6:$B$1005,'Activity Log'!$C$6:$C$1005,$A402)))</x:f>
      </x:c>
      <x:c r="Q402" s="71" t="str">
        <x:f>IF($A402="","",IF(COUNTIFS('Activity Log'!$C$6:$C$1005,$A402,'Activity Log'!$J$6:$J$1005,"No",'Activity Log'!$I$6:$I$1005,"&gt;0")=0,"",MINIFS('Activity Log'!$I$6:$I$1005,'Activity Log'!$C$6:$C$1005,$A402,'Activity Log'!$J$6:$J$1005,"No",'Activity Log'!$I$6:$I$1005,"&gt;0")))</x:f>
      </x:c>
      <x:c r="R402" s="57" t="str">
        <x:f>IF($C402="","",IF(OR($K402="Won",$K402="Lost",$K402="Disqualified"),"Closed",IF($Q402="","No date",IF(INT($Q402)&lt;TODAY(),"Overdue",IF(INT($Q402)=TODAY(),"Today",IF(INT($Q402)&lt;=TODAY()+7,"Next 7 days","Later"))))))</x:f>
      </x:c>
      <x:c r="S402" s="57" t="str">
        <x:f>IF(OR($C402="",$P402=""),"",TODAY()-INT($P402))</x:f>
      </x:c>
      <x:c r="T402" s="54"/>
      <x:c r="U402" s="54"/>
      <x:c r="V402" s="63"/>
      <x:c r="W402" s="74"/>
      <x:c r="X402" s="77" t="str">
        <x:f>IF($C402="","",IFERROR(VLOOKUP($M402,'Lists &amp; Rules'!$L$5:$N$13,2,FALSE),0))</x:f>
      </x:c>
      <x:c r="Y402" s="80" t="str">
        <x:f>IF(OR($C402="",$W402=""),"",ROUND($W402*$X402,0))</x:f>
      </x:c>
      <x:c r="Z402" s="57" t="str">
        <x:f>IF($A402="","",COUNTIF('Activity Log'!$C$6:$C$1005,$A402))</x:f>
      </x:c>
      <x:c r="AA402" s="68"/>
      <x:c r="AB402" s="63"/>
    </x:row>
    <x:row r="403">
      <x:c r="A403" s="54"/>
      <x:c r="B403" s="68"/>
      <x:c r="C403" s="54"/>
      <x:c r="D403" s="54"/>
      <x:c r="E403" s="54"/>
      <x:c r="F403" s="54"/>
      <x:c r="G403" s="54"/>
      <x:c r="H403" s="54"/>
      <x:c r="I403" s="54"/>
      <x:c r="J403" s="54"/>
      <x:c r="K403" s="54"/>
      <x:c r="L403" s="54"/>
      <x:c r="M403" s="54"/>
      <x:c r="N403" s="54"/>
      <x:c r="O403" s="57" t="str">
        <x:f>IF($C403="","",MAX(0,MIN(100,IFERROR(VLOOKUP($L403,'Lists &amp; Rules'!$P$5:$Q$8,2,FALSE),0)+IFERROR(VLOOKUP($N403,'Lists &amp; Rules'!$S$5:$T$7,2,FALSE),0)+IFERROR(VLOOKUP($M403,'Lists &amp; Rules'!$L$5:$N$13,3,FALSE),0)+IF($R403="Overdue",-10,IF($R403="Today",5,0))+MIN(15,$Z403*3))))</x:f>
      </x:c>
      <x:c r="P403" s="71" t="str">
        <x:f>IF($A403="","",IF(COUNTIF('Activity Log'!$C$6:$C$1005,$A403)=0,"",MAXIFS('Activity Log'!$B$6:$B$1005,'Activity Log'!$C$6:$C$1005,$A403)))</x:f>
      </x:c>
      <x:c r="Q403" s="71" t="str">
        <x:f>IF($A403="","",IF(COUNTIFS('Activity Log'!$C$6:$C$1005,$A403,'Activity Log'!$J$6:$J$1005,"No",'Activity Log'!$I$6:$I$1005,"&gt;0")=0,"",MINIFS('Activity Log'!$I$6:$I$1005,'Activity Log'!$C$6:$C$1005,$A403,'Activity Log'!$J$6:$J$1005,"No",'Activity Log'!$I$6:$I$1005,"&gt;0")))</x:f>
      </x:c>
      <x:c r="R403" s="57" t="str">
        <x:f>IF($C403="","",IF(OR($K403="Won",$K403="Lost",$K403="Disqualified"),"Closed",IF($Q403="","No date",IF(INT($Q403)&lt;TODAY(),"Overdue",IF(INT($Q403)=TODAY(),"Today",IF(INT($Q403)&lt;=TODAY()+7,"Next 7 days","Later"))))))</x:f>
      </x:c>
      <x:c r="S403" s="57" t="str">
        <x:f>IF(OR($C403="",$P403=""),"",TODAY()-INT($P403))</x:f>
      </x:c>
      <x:c r="T403" s="54"/>
      <x:c r="U403" s="54"/>
      <x:c r="V403" s="63"/>
      <x:c r="W403" s="74"/>
      <x:c r="X403" s="77" t="str">
        <x:f>IF($C403="","",IFERROR(VLOOKUP($M403,'Lists &amp; Rules'!$L$5:$N$13,2,FALSE),0))</x:f>
      </x:c>
      <x:c r="Y403" s="80" t="str">
        <x:f>IF(OR($C403="",$W403=""),"",ROUND($W403*$X403,0))</x:f>
      </x:c>
      <x:c r="Z403" s="57" t="str">
        <x:f>IF($A403="","",COUNTIF('Activity Log'!$C$6:$C$1005,$A403))</x:f>
      </x:c>
      <x:c r="AA403" s="68"/>
      <x:c r="AB403" s="63"/>
    </x:row>
    <x:row r="404">
      <x:c r="A404" s="54"/>
      <x:c r="B404" s="68"/>
      <x:c r="C404" s="54"/>
      <x:c r="D404" s="54"/>
      <x:c r="E404" s="54"/>
      <x:c r="F404" s="54"/>
      <x:c r="G404" s="54"/>
      <x:c r="H404" s="54"/>
      <x:c r="I404" s="54"/>
      <x:c r="J404" s="54"/>
      <x:c r="K404" s="54"/>
      <x:c r="L404" s="54"/>
      <x:c r="M404" s="54"/>
      <x:c r="N404" s="54"/>
      <x:c r="O404" s="57" t="str">
        <x:f>IF($C404="","",MAX(0,MIN(100,IFERROR(VLOOKUP($L404,'Lists &amp; Rules'!$P$5:$Q$8,2,FALSE),0)+IFERROR(VLOOKUP($N404,'Lists &amp; Rules'!$S$5:$T$7,2,FALSE),0)+IFERROR(VLOOKUP($M404,'Lists &amp; Rules'!$L$5:$N$13,3,FALSE),0)+IF($R404="Overdue",-10,IF($R404="Today",5,0))+MIN(15,$Z404*3))))</x:f>
      </x:c>
      <x:c r="P404" s="71" t="str">
        <x:f>IF($A404="","",IF(COUNTIF('Activity Log'!$C$6:$C$1005,$A404)=0,"",MAXIFS('Activity Log'!$B$6:$B$1005,'Activity Log'!$C$6:$C$1005,$A404)))</x:f>
      </x:c>
      <x:c r="Q404" s="71" t="str">
        <x:f>IF($A404="","",IF(COUNTIFS('Activity Log'!$C$6:$C$1005,$A404,'Activity Log'!$J$6:$J$1005,"No",'Activity Log'!$I$6:$I$1005,"&gt;0")=0,"",MINIFS('Activity Log'!$I$6:$I$1005,'Activity Log'!$C$6:$C$1005,$A404,'Activity Log'!$J$6:$J$1005,"No",'Activity Log'!$I$6:$I$1005,"&gt;0")))</x:f>
      </x:c>
      <x:c r="R404" s="57" t="str">
        <x:f>IF($C404="","",IF(OR($K404="Won",$K404="Lost",$K404="Disqualified"),"Closed",IF($Q404="","No date",IF(INT($Q404)&lt;TODAY(),"Overdue",IF(INT($Q404)=TODAY(),"Today",IF(INT($Q404)&lt;=TODAY()+7,"Next 7 days","Later"))))))</x:f>
      </x:c>
      <x:c r="S404" s="57" t="str">
        <x:f>IF(OR($C404="",$P404=""),"",TODAY()-INT($P404))</x:f>
      </x:c>
      <x:c r="T404" s="54"/>
      <x:c r="U404" s="54"/>
      <x:c r="V404" s="63"/>
      <x:c r="W404" s="74"/>
      <x:c r="X404" s="77" t="str">
        <x:f>IF($C404="","",IFERROR(VLOOKUP($M404,'Lists &amp; Rules'!$L$5:$N$13,2,FALSE),0))</x:f>
      </x:c>
      <x:c r="Y404" s="80" t="str">
        <x:f>IF(OR($C404="",$W404=""),"",ROUND($W404*$X404,0))</x:f>
      </x:c>
      <x:c r="Z404" s="57" t="str">
        <x:f>IF($A404="","",COUNTIF('Activity Log'!$C$6:$C$1005,$A404))</x:f>
      </x:c>
      <x:c r="AA404" s="68"/>
      <x:c r="AB404" s="63"/>
    </x:row>
    <x:row r="405">
      <x:c r="A405" s="54"/>
      <x:c r="B405" s="68"/>
      <x:c r="C405" s="54"/>
      <x:c r="D405" s="54"/>
      <x:c r="E405" s="54"/>
      <x:c r="F405" s="54"/>
      <x:c r="G405" s="54"/>
      <x:c r="H405" s="54"/>
      <x:c r="I405" s="54"/>
      <x:c r="J405" s="54"/>
      <x:c r="K405" s="54"/>
      <x:c r="L405" s="54"/>
      <x:c r="M405" s="54"/>
      <x:c r="N405" s="54"/>
      <x:c r="O405" s="57" t="str">
        <x:f>IF($C405="","",MAX(0,MIN(100,IFERROR(VLOOKUP($L405,'Lists &amp; Rules'!$P$5:$Q$8,2,FALSE),0)+IFERROR(VLOOKUP($N405,'Lists &amp; Rules'!$S$5:$T$7,2,FALSE),0)+IFERROR(VLOOKUP($M405,'Lists &amp; Rules'!$L$5:$N$13,3,FALSE),0)+IF($R405="Overdue",-10,IF($R405="Today",5,0))+MIN(15,$Z405*3))))</x:f>
      </x:c>
      <x:c r="P405" s="71" t="str">
        <x:f>IF($A405="","",IF(COUNTIF('Activity Log'!$C$6:$C$1005,$A405)=0,"",MAXIFS('Activity Log'!$B$6:$B$1005,'Activity Log'!$C$6:$C$1005,$A405)))</x:f>
      </x:c>
      <x:c r="Q405" s="71" t="str">
        <x:f>IF($A405="","",IF(COUNTIFS('Activity Log'!$C$6:$C$1005,$A405,'Activity Log'!$J$6:$J$1005,"No",'Activity Log'!$I$6:$I$1005,"&gt;0")=0,"",MINIFS('Activity Log'!$I$6:$I$1005,'Activity Log'!$C$6:$C$1005,$A405,'Activity Log'!$J$6:$J$1005,"No",'Activity Log'!$I$6:$I$1005,"&gt;0")))</x:f>
      </x:c>
      <x:c r="R405" s="57" t="str">
        <x:f>IF($C405="","",IF(OR($K405="Won",$K405="Lost",$K405="Disqualified"),"Closed",IF($Q405="","No date",IF(INT($Q405)&lt;TODAY(),"Overdue",IF(INT($Q405)=TODAY(),"Today",IF(INT($Q405)&lt;=TODAY()+7,"Next 7 days","Later"))))))</x:f>
      </x:c>
      <x:c r="S405" s="57" t="str">
        <x:f>IF(OR($C405="",$P405=""),"",TODAY()-INT($P405))</x:f>
      </x:c>
      <x:c r="T405" s="54"/>
      <x:c r="U405" s="54"/>
      <x:c r="V405" s="63"/>
      <x:c r="W405" s="74"/>
      <x:c r="X405" s="77" t="str">
        <x:f>IF($C405="","",IFERROR(VLOOKUP($M405,'Lists &amp; Rules'!$L$5:$N$13,2,FALSE),0))</x:f>
      </x:c>
      <x:c r="Y405" s="80" t="str">
        <x:f>IF(OR($C405="",$W405=""),"",ROUND($W405*$X405,0))</x:f>
      </x:c>
      <x:c r="Z405" s="57" t="str">
        <x:f>IF($A405="","",COUNTIF('Activity Log'!$C$6:$C$1005,$A405))</x:f>
      </x:c>
      <x:c r="AA405" s="68"/>
      <x:c r="AB405" s="63"/>
    </x:row>
    <x:row r="406">
      <x:c r="A406" s="54"/>
      <x:c r="B406" s="68"/>
      <x:c r="C406" s="54"/>
      <x:c r="D406" s="54"/>
      <x:c r="E406" s="54"/>
      <x:c r="F406" s="54"/>
      <x:c r="G406" s="54"/>
      <x:c r="H406" s="54"/>
      <x:c r="I406" s="54"/>
      <x:c r="J406" s="54"/>
      <x:c r="K406" s="54"/>
      <x:c r="L406" s="54"/>
      <x:c r="M406" s="54"/>
      <x:c r="N406" s="54"/>
      <x:c r="O406" s="57" t="str">
        <x:f>IF($C406="","",MAX(0,MIN(100,IFERROR(VLOOKUP($L406,'Lists &amp; Rules'!$P$5:$Q$8,2,FALSE),0)+IFERROR(VLOOKUP($N406,'Lists &amp; Rules'!$S$5:$T$7,2,FALSE),0)+IFERROR(VLOOKUP($M406,'Lists &amp; Rules'!$L$5:$N$13,3,FALSE),0)+IF($R406="Overdue",-10,IF($R406="Today",5,0))+MIN(15,$Z406*3))))</x:f>
      </x:c>
      <x:c r="P406" s="71" t="str">
        <x:f>IF($A406="","",IF(COUNTIF('Activity Log'!$C$6:$C$1005,$A406)=0,"",MAXIFS('Activity Log'!$B$6:$B$1005,'Activity Log'!$C$6:$C$1005,$A406)))</x:f>
      </x:c>
      <x:c r="Q406" s="71" t="str">
        <x:f>IF($A406="","",IF(COUNTIFS('Activity Log'!$C$6:$C$1005,$A406,'Activity Log'!$J$6:$J$1005,"No",'Activity Log'!$I$6:$I$1005,"&gt;0")=0,"",MINIFS('Activity Log'!$I$6:$I$1005,'Activity Log'!$C$6:$C$1005,$A406,'Activity Log'!$J$6:$J$1005,"No",'Activity Log'!$I$6:$I$1005,"&gt;0")))</x:f>
      </x:c>
      <x:c r="R406" s="57" t="str">
        <x:f>IF($C406="","",IF(OR($K406="Won",$K406="Lost",$K406="Disqualified"),"Closed",IF($Q406="","No date",IF(INT($Q406)&lt;TODAY(),"Overdue",IF(INT($Q406)=TODAY(),"Today",IF(INT($Q406)&lt;=TODAY()+7,"Next 7 days","Later"))))))</x:f>
      </x:c>
      <x:c r="S406" s="57" t="str">
        <x:f>IF(OR($C406="",$P406=""),"",TODAY()-INT($P406))</x:f>
      </x:c>
      <x:c r="T406" s="54"/>
      <x:c r="U406" s="54"/>
      <x:c r="V406" s="63"/>
      <x:c r="W406" s="74"/>
      <x:c r="X406" s="77" t="str">
        <x:f>IF($C406="","",IFERROR(VLOOKUP($M406,'Lists &amp; Rules'!$L$5:$N$13,2,FALSE),0))</x:f>
      </x:c>
      <x:c r="Y406" s="80" t="str">
        <x:f>IF(OR($C406="",$W406=""),"",ROUND($W406*$X406,0))</x:f>
      </x:c>
      <x:c r="Z406" s="57" t="str">
        <x:f>IF($A406="","",COUNTIF('Activity Log'!$C$6:$C$1005,$A406))</x:f>
      </x:c>
      <x:c r="AA406" s="68"/>
      <x:c r="AB406" s="63"/>
    </x:row>
    <x:row r="407">
      <x:c r="A407" s="54"/>
      <x:c r="B407" s="68"/>
      <x:c r="C407" s="54"/>
      <x:c r="D407" s="54"/>
      <x:c r="E407" s="54"/>
      <x:c r="F407" s="54"/>
      <x:c r="G407" s="54"/>
      <x:c r="H407" s="54"/>
      <x:c r="I407" s="54"/>
      <x:c r="J407" s="54"/>
      <x:c r="K407" s="54"/>
      <x:c r="L407" s="54"/>
      <x:c r="M407" s="54"/>
      <x:c r="N407" s="54"/>
      <x:c r="O407" s="57" t="str">
        <x:f>IF($C407="","",MAX(0,MIN(100,IFERROR(VLOOKUP($L407,'Lists &amp; Rules'!$P$5:$Q$8,2,FALSE),0)+IFERROR(VLOOKUP($N407,'Lists &amp; Rules'!$S$5:$T$7,2,FALSE),0)+IFERROR(VLOOKUP($M407,'Lists &amp; Rules'!$L$5:$N$13,3,FALSE),0)+IF($R407="Overdue",-10,IF($R407="Today",5,0))+MIN(15,$Z407*3))))</x:f>
      </x:c>
      <x:c r="P407" s="71" t="str">
        <x:f>IF($A407="","",IF(COUNTIF('Activity Log'!$C$6:$C$1005,$A407)=0,"",MAXIFS('Activity Log'!$B$6:$B$1005,'Activity Log'!$C$6:$C$1005,$A407)))</x:f>
      </x:c>
      <x:c r="Q407" s="71" t="str">
        <x:f>IF($A407="","",IF(COUNTIFS('Activity Log'!$C$6:$C$1005,$A407,'Activity Log'!$J$6:$J$1005,"No",'Activity Log'!$I$6:$I$1005,"&gt;0")=0,"",MINIFS('Activity Log'!$I$6:$I$1005,'Activity Log'!$C$6:$C$1005,$A407,'Activity Log'!$J$6:$J$1005,"No",'Activity Log'!$I$6:$I$1005,"&gt;0")))</x:f>
      </x:c>
      <x:c r="R407" s="57" t="str">
        <x:f>IF($C407="","",IF(OR($K407="Won",$K407="Lost",$K407="Disqualified"),"Closed",IF($Q407="","No date",IF(INT($Q407)&lt;TODAY(),"Overdue",IF(INT($Q407)=TODAY(),"Today",IF(INT($Q407)&lt;=TODAY()+7,"Next 7 days","Later"))))))</x:f>
      </x:c>
      <x:c r="S407" s="57" t="str">
        <x:f>IF(OR($C407="",$P407=""),"",TODAY()-INT($P407))</x:f>
      </x:c>
      <x:c r="T407" s="54"/>
      <x:c r="U407" s="54"/>
      <x:c r="V407" s="63"/>
      <x:c r="W407" s="74"/>
      <x:c r="X407" s="77" t="str">
        <x:f>IF($C407="","",IFERROR(VLOOKUP($M407,'Lists &amp; Rules'!$L$5:$N$13,2,FALSE),0))</x:f>
      </x:c>
      <x:c r="Y407" s="80" t="str">
        <x:f>IF(OR($C407="",$W407=""),"",ROUND($W407*$X407,0))</x:f>
      </x:c>
      <x:c r="Z407" s="57" t="str">
        <x:f>IF($A407="","",COUNTIF('Activity Log'!$C$6:$C$1005,$A407))</x:f>
      </x:c>
      <x:c r="AA407" s="68"/>
      <x:c r="AB407" s="63"/>
    </x:row>
    <x:row r="408">
      <x:c r="A408" s="54"/>
      <x:c r="B408" s="68"/>
      <x:c r="C408" s="54"/>
      <x:c r="D408" s="54"/>
      <x:c r="E408" s="54"/>
      <x:c r="F408" s="54"/>
      <x:c r="G408" s="54"/>
      <x:c r="H408" s="54"/>
      <x:c r="I408" s="54"/>
      <x:c r="J408" s="54"/>
      <x:c r="K408" s="54"/>
      <x:c r="L408" s="54"/>
      <x:c r="M408" s="54"/>
      <x:c r="N408" s="54"/>
      <x:c r="O408" s="57" t="str">
        <x:f>IF($C408="","",MAX(0,MIN(100,IFERROR(VLOOKUP($L408,'Lists &amp; Rules'!$P$5:$Q$8,2,FALSE),0)+IFERROR(VLOOKUP($N408,'Lists &amp; Rules'!$S$5:$T$7,2,FALSE),0)+IFERROR(VLOOKUP($M408,'Lists &amp; Rules'!$L$5:$N$13,3,FALSE),0)+IF($R408="Overdue",-10,IF($R408="Today",5,0))+MIN(15,$Z408*3))))</x:f>
      </x:c>
      <x:c r="P408" s="71" t="str">
        <x:f>IF($A408="","",IF(COUNTIF('Activity Log'!$C$6:$C$1005,$A408)=0,"",MAXIFS('Activity Log'!$B$6:$B$1005,'Activity Log'!$C$6:$C$1005,$A408)))</x:f>
      </x:c>
      <x:c r="Q408" s="71" t="str">
        <x:f>IF($A408="","",IF(COUNTIFS('Activity Log'!$C$6:$C$1005,$A408,'Activity Log'!$J$6:$J$1005,"No",'Activity Log'!$I$6:$I$1005,"&gt;0")=0,"",MINIFS('Activity Log'!$I$6:$I$1005,'Activity Log'!$C$6:$C$1005,$A408,'Activity Log'!$J$6:$J$1005,"No",'Activity Log'!$I$6:$I$1005,"&gt;0")))</x:f>
      </x:c>
      <x:c r="R408" s="57" t="str">
        <x:f>IF($C408="","",IF(OR($K408="Won",$K408="Lost",$K408="Disqualified"),"Closed",IF($Q408="","No date",IF(INT($Q408)&lt;TODAY(),"Overdue",IF(INT($Q408)=TODAY(),"Today",IF(INT($Q408)&lt;=TODAY()+7,"Next 7 days","Later"))))))</x:f>
      </x:c>
      <x:c r="S408" s="57" t="str">
        <x:f>IF(OR($C408="",$P408=""),"",TODAY()-INT($P408))</x:f>
      </x:c>
      <x:c r="T408" s="54"/>
      <x:c r="U408" s="54"/>
      <x:c r="V408" s="63"/>
      <x:c r="W408" s="74"/>
      <x:c r="X408" s="77" t="str">
        <x:f>IF($C408="","",IFERROR(VLOOKUP($M408,'Lists &amp; Rules'!$L$5:$N$13,2,FALSE),0))</x:f>
      </x:c>
      <x:c r="Y408" s="80" t="str">
        <x:f>IF(OR($C408="",$W408=""),"",ROUND($W408*$X408,0))</x:f>
      </x:c>
      <x:c r="Z408" s="57" t="str">
        <x:f>IF($A408="","",COUNTIF('Activity Log'!$C$6:$C$1005,$A408))</x:f>
      </x:c>
      <x:c r="AA408" s="68"/>
      <x:c r="AB408" s="63"/>
    </x:row>
    <x:row r="409">
      <x:c r="A409" s="54"/>
      <x:c r="B409" s="68"/>
      <x:c r="C409" s="54"/>
      <x:c r="D409" s="54"/>
      <x:c r="E409" s="54"/>
      <x:c r="F409" s="54"/>
      <x:c r="G409" s="54"/>
      <x:c r="H409" s="54"/>
      <x:c r="I409" s="54"/>
      <x:c r="J409" s="54"/>
      <x:c r="K409" s="54"/>
      <x:c r="L409" s="54"/>
      <x:c r="M409" s="54"/>
      <x:c r="N409" s="54"/>
      <x:c r="O409" s="57" t="str">
        <x:f>IF($C409="","",MAX(0,MIN(100,IFERROR(VLOOKUP($L409,'Lists &amp; Rules'!$P$5:$Q$8,2,FALSE),0)+IFERROR(VLOOKUP($N409,'Lists &amp; Rules'!$S$5:$T$7,2,FALSE),0)+IFERROR(VLOOKUP($M409,'Lists &amp; Rules'!$L$5:$N$13,3,FALSE),0)+IF($R409="Overdue",-10,IF($R409="Today",5,0))+MIN(15,$Z409*3))))</x:f>
      </x:c>
      <x:c r="P409" s="71" t="str">
        <x:f>IF($A409="","",IF(COUNTIF('Activity Log'!$C$6:$C$1005,$A409)=0,"",MAXIFS('Activity Log'!$B$6:$B$1005,'Activity Log'!$C$6:$C$1005,$A409)))</x:f>
      </x:c>
      <x:c r="Q409" s="71" t="str">
        <x:f>IF($A409="","",IF(COUNTIFS('Activity Log'!$C$6:$C$1005,$A409,'Activity Log'!$J$6:$J$1005,"No",'Activity Log'!$I$6:$I$1005,"&gt;0")=0,"",MINIFS('Activity Log'!$I$6:$I$1005,'Activity Log'!$C$6:$C$1005,$A409,'Activity Log'!$J$6:$J$1005,"No",'Activity Log'!$I$6:$I$1005,"&gt;0")))</x:f>
      </x:c>
      <x:c r="R409" s="57" t="str">
        <x:f>IF($C409="","",IF(OR($K409="Won",$K409="Lost",$K409="Disqualified"),"Closed",IF($Q409="","No date",IF(INT($Q409)&lt;TODAY(),"Overdue",IF(INT($Q409)=TODAY(),"Today",IF(INT($Q409)&lt;=TODAY()+7,"Next 7 days","Later"))))))</x:f>
      </x:c>
      <x:c r="S409" s="57" t="str">
        <x:f>IF(OR($C409="",$P409=""),"",TODAY()-INT($P409))</x:f>
      </x:c>
      <x:c r="T409" s="54"/>
      <x:c r="U409" s="54"/>
      <x:c r="V409" s="63"/>
      <x:c r="W409" s="74"/>
      <x:c r="X409" s="77" t="str">
        <x:f>IF($C409="","",IFERROR(VLOOKUP($M409,'Lists &amp; Rules'!$L$5:$N$13,2,FALSE),0))</x:f>
      </x:c>
      <x:c r="Y409" s="80" t="str">
        <x:f>IF(OR($C409="",$W409=""),"",ROUND($W409*$X409,0))</x:f>
      </x:c>
      <x:c r="Z409" s="57" t="str">
        <x:f>IF($A409="","",COUNTIF('Activity Log'!$C$6:$C$1005,$A409))</x:f>
      </x:c>
      <x:c r="AA409" s="68"/>
      <x:c r="AB409" s="63"/>
    </x:row>
    <x:row r="410">
      <x:c r="A410" s="54"/>
      <x:c r="B410" s="68"/>
      <x:c r="C410" s="54"/>
      <x:c r="D410" s="54"/>
      <x:c r="E410" s="54"/>
      <x:c r="F410" s="54"/>
      <x:c r="G410" s="54"/>
      <x:c r="H410" s="54"/>
      <x:c r="I410" s="54"/>
      <x:c r="J410" s="54"/>
      <x:c r="K410" s="54"/>
      <x:c r="L410" s="54"/>
      <x:c r="M410" s="54"/>
      <x:c r="N410" s="54"/>
      <x:c r="O410" s="57" t="str">
        <x:f>IF($C410="","",MAX(0,MIN(100,IFERROR(VLOOKUP($L410,'Lists &amp; Rules'!$P$5:$Q$8,2,FALSE),0)+IFERROR(VLOOKUP($N410,'Lists &amp; Rules'!$S$5:$T$7,2,FALSE),0)+IFERROR(VLOOKUP($M410,'Lists &amp; Rules'!$L$5:$N$13,3,FALSE),0)+IF($R410="Overdue",-10,IF($R410="Today",5,0))+MIN(15,$Z410*3))))</x:f>
      </x:c>
      <x:c r="P410" s="71" t="str">
        <x:f>IF($A410="","",IF(COUNTIF('Activity Log'!$C$6:$C$1005,$A410)=0,"",MAXIFS('Activity Log'!$B$6:$B$1005,'Activity Log'!$C$6:$C$1005,$A410)))</x:f>
      </x:c>
      <x:c r="Q410" s="71" t="str">
        <x:f>IF($A410="","",IF(COUNTIFS('Activity Log'!$C$6:$C$1005,$A410,'Activity Log'!$J$6:$J$1005,"No",'Activity Log'!$I$6:$I$1005,"&gt;0")=0,"",MINIFS('Activity Log'!$I$6:$I$1005,'Activity Log'!$C$6:$C$1005,$A410,'Activity Log'!$J$6:$J$1005,"No",'Activity Log'!$I$6:$I$1005,"&gt;0")))</x:f>
      </x:c>
      <x:c r="R410" s="57" t="str">
        <x:f>IF($C410="","",IF(OR($K410="Won",$K410="Lost",$K410="Disqualified"),"Closed",IF($Q410="","No date",IF(INT($Q410)&lt;TODAY(),"Overdue",IF(INT($Q410)=TODAY(),"Today",IF(INT($Q410)&lt;=TODAY()+7,"Next 7 days","Later"))))))</x:f>
      </x:c>
      <x:c r="S410" s="57" t="str">
        <x:f>IF(OR($C410="",$P410=""),"",TODAY()-INT($P410))</x:f>
      </x:c>
      <x:c r="T410" s="54"/>
      <x:c r="U410" s="54"/>
      <x:c r="V410" s="63"/>
      <x:c r="W410" s="74"/>
      <x:c r="X410" s="77" t="str">
        <x:f>IF($C410="","",IFERROR(VLOOKUP($M410,'Lists &amp; Rules'!$L$5:$N$13,2,FALSE),0))</x:f>
      </x:c>
      <x:c r="Y410" s="80" t="str">
        <x:f>IF(OR($C410="",$W410=""),"",ROUND($W410*$X410,0))</x:f>
      </x:c>
      <x:c r="Z410" s="57" t="str">
        <x:f>IF($A410="","",COUNTIF('Activity Log'!$C$6:$C$1005,$A410))</x:f>
      </x:c>
      <x:c r="AA410" s="68"/>
      <x:c r="AB410" s="63"/>
    </x:row>
    <x:row r="411">
      <x:c r="A411" s="54"/>
      <x:c r="B411" s="68"/>
      <x:c r="C411" s="54"/>
      <x:c r="D411" s="54"/>
      <x:c r="E411" s="54"/>
      <x:c r="F411" s="54"/>
      <x:c r="G411" s="54"/>
      <x:c r="H411" s="54"/>
      <x:c r="I411" s="54"/>
      <x:c r="J411" s="54"/>
      <x:c r="K411" s="54"/>
      <x:c r="L411" s="54"/>
      <x:c r="M411" s="54"/>
      <x:c r="N411" s="54"/>
      <x:c r="O411" s="57" t="str">
        <x:f>IF($C411="","",MAX(0,MIN(100,IFERROR(VLOOKUP($L411,'Lists &amp; Rules'!$P$5:$Q$8,2,FALSE),0)+IFERROR(VLOOKUP($N411,'Lists &amp; Rules'!$S$5:$T$7,2,FALSE),0)+IFERROR(VLOOKUP($M411,'Lists &amp; Rules'!$L$5:$N$13,3,FALSE),0)+IF($R411="Overdue",-10,IF($R411="Today",5,0))+MIN(15,$Z411*3))))</x:f>
      </x:c>
      <x:c r="P411" s="71" t="str">
        <x:f>IF($A411="","",IF(COUNTIF('Activity Log'!$C$6:$C$1005,$A411)=0,"",MAXIFS('Activity Log'!$B$6:$B$1005,'Activity Log'!$C$6:$C$1005,$A411)))</x:f>
      </x:c>
      <x:c r="Q411" s="71" t="str">
        <x:f>IF($A411="","",IF(COUNTIFS('Activity Log'!$C$6:$C$1005,$A411,'Activity Log'!$J$6:$J$1005,"No",'Activity Log'!$I$6:$I$1005,"&gt;0")=0,"",MINIFS('Activity Log'!$I$6:$I$1005,'Activity Log'!$C$6:$C$1005,$A411,'Activity Log'!$J$6:$J$1005,"No",'Activity Log'!$I$6:$I$1005,"&gt;0")))</x:f>
      </x:c>
      <x:c r="R411" s="57" t="str">
        <x:f>IF($C411="","",IF(OR($K411="Won",$K411="Lost",$K411="Disqualified"),"Closed",IF($Q411="","No date",IF(INT($Q411)&lt;TODAY(),"Overdue",IF(INT($Q411)=TODAY(),"Today",IF(INT($Q411)&lt;=TODAY()+7,"Next 7 days","Later"))))))</x:f>
      </x:c>
      <x:c r="S411" s="57" t="str">
        <x:f>IF(OR($C411="",$P411=""),"",TODAY()-INT($P411))</x:f>
      </x:c>
      <x:c r="T411" s="54"/>
      <x:c r="U411" s="54"/>
      <x:c r="V411" s="63"/>
      <x:c r="W411" s="74"/>
      <x:c r="X411" s="77" t="str">
        <x:f>IF($C411="","",IFERROR(VLOOKUP($M411,'Lists &amp; Rules'!$L$5:$N$13,2,FALSE),0))</x:f>
      </x:c>
      <x:c r="Y411" s="80" t="str">
        <x:f>IF(OR($C411="",$W411=""),"",ROUND($W411*$X411,0))</x:f>
      </x:c>
      <x:c r="Z411" s="57" t="str">
        <x:f>IF($A411="","",COUNTIF('Activity Log'!$C$6:$C$1005,$A411))</x:f>
      </x:c>
      <x:c r="AA411" s="68"/>
      <x:c r="AB411" s="63"/>
    </x:row>
    <x:row r="412">
      <x:c r="A412" s="54"/>
      <x:c r="B412" s="68"/>
      <x:c r="C412" s="54"/>
      <x:c r="D412" s="54"/>
      <x:c r="E412" s="54"/>
      <x:c r="F412" s="54"/>
      <x:c r="G412" s="54"/>
      <x:c r="H412" s="54"/>
      <x:c r="I412" s="54"/>
      <x:c r="J412" s="54"/>
      <x:c r="K412" s="54"/>
      <x:c r="L412" s="54"/>
      <x:c r="M412" s="54"/>
      <x:c r="N412" s="54"/>
      <x:c r="O412" s="57" t="str">
        <x:f>IF($C412="","",MAX(0,MIN(100,IFERROR(VLOOKUP($L412,'Lists &amp; Rules'!$P$5:$Q$8,2,FALSE),0)+IFERROR(VLOOKUP($N412,'Lists &amp; Rules'!$S$5:$T$7,2,FALSE),0)+IFERROR(VLOOKUP($M412,'Lists &amp; Rules'!$L$5:$N$13,3,FALSE),0)+IF($R412="Overdue",-10,IF($R412="Today",5,0))+MIN(15,$Z412*3))))</x:f>
      </x:c>
      <x:c r="P412" s="71" t="str">
        <x:f>IF($A412="","",IF(COUNTIF('Activity Log'!$C$6:$C$1005,$A412)=0,"",MAXIFS('Activity Log'!$B$6:$B$1005,'Activity Log'!$C$6:$C$1005,$A412)))</x:f>
      </x:c>
      <x:c r="Q412" s="71" t="str">
        <x:f>IF($A412="","",IF(COUNTIFS('Activity Log'!$C$6:$C$1005,$A412,'Activity Log'!$J$6:$J$1005,"No",'Activity Log'!$I$6:$I$1005,"&gt;0")=0,"",MINIFS('Activity Log'!$I$6:$I$1005,'Activity Log'!$C$6:$C$1005,$A412,'Activity Log'!$J$6:$J$1005,"No",'Activity Log'!$I$6:$I$1005,"&gt;0")))</x:f>
      </x:c>
      <x:c r="R412" s="57" t="str">
        <x:f>IF($C412="","",IF(OR($K412="Won",$K412="Lost",$K412="Disqualified"),"Closed",IF($Q412="","No date",IF(INT($Q412)&lt;TODAY(),"Overdue",IF(INT($Q412)=TODAY(),"Today",IF(INT($Q412)&lt;=TODAY()+7,"Next 7 days","Later"))))))</x:f>
      </x:c>
      <x:c r="S412" s="57" t="str">
        <x:f>IF(OR($C412="",$P412=""),"",TODAY()-INT($P412))</x:f>
      </x:c>
      <x:c r="T412" s="54"/>
      <x:c r="U412" s="54"/>
      <x:c r="V412" s="63"/>
      <x:c r="W412" s="74"/>
      <x:c r="X412" s="77" t="str">
        <x:f>IF($C412="","",IFERROR(VLOOKUP($M412,'Lists &amp; Rules'!$L$5:$N$13,2,FALSE),0))</x:f>
      </x:c>
      <x:c r="Y412" s="80" t="str">
        <x:f>IF(OR($C412="",$W412=""),"",ROUND($W412*$X412,0))</x:f>
      </x:c>
      <x:c r="Z412" s="57" t="str">
        <x:f>IF($A412="","",COUNTIF('Activity Log'!$C$6:$C$1005,$A412))</x:f>
      </x:c>
      <x:c r="AA412" s="68"/>
      <x:c r="AB412" s="63"/>
    </x:row>
    <x:row r="413">
      <x:c r="A413" s="54"/>
      <x:c r="B413" s="68"/>
      <x:c r="C413" s="54"/>
      <x:c r="D413" s="54"/>
      <x:c r="E413" s="54"/>
      <x:c r="F413" s="54"/>
      <x:c r="G413" s="54"/>
      <x:c r="H413" s="54"/>
      <x:c r="I413" s="54"/>
      <x:c r="J413" s="54"/>
      <x:c r="K413" s="54"/>
      <x:c r="L413" s="54"/>
      <x:c r="M413" s="54"/>
      <x:c r="N413" s="54"/>
      <x:c r="O413" s="57" t="str">
        <x:f>IF($C413="","",MAX(0,MIN(100,IFERROR(VLOOKUP($L413,'Lists &amp; Rules'!$P$5:$Q$8,2,FALSE),0)+IFERROR(VLOOKUP($N413,'Lists &amp; Rules'!$S$5:$T$7,2,FALSE),0)+IFERROR(VLOOKUP($M413,'Lists &amp; Rules'!$L$5:$N$13,3,FALSE),0)+IF($R413="Overdue",-10,IF($R413="Today",5,0))+MIN(15,$Z413*3))))</x:f>
      </x:c>
      <x:c r="P413" s="71" t="str">
        <x:f>IF($A413="","",IF(COUNTIF('Activity Log'!$C$6:$C$1005,$A413)=0,"",MAXIFS('Activity Log'!$B$6:$B$1005,'Activity Log'!$C$6:$C$1005,$A413)))</x:f>
      </x:c>
      <x:c r="Q413" s="71" t="str">
        <x:f>IF($A413="","",IF(COUNTIFS('Activity Log'!$C$6:$C$1005,$A413,'Activity Log'!$J$6:$J$1005,"No",'Activity Log'!$I$6:$I$1005,"&gt;0")=0,"",MINIFS('Activity Log'!$I$6:$I$1005,'Activity Log'!$C$6:$C$1005,$A413,'Activity Log'!$J$6:$J$1005,"No",'Activity Log'!$I$6:$I$1005,"&gt;0")))</x:f>
      </x:c>
      <x:c r="R413" s="57" t="str">
        <x:f>IF($C413="","",IF(OR($K413="Won",$K413="Lost",$K413="Disqualified"),"Closed",IF($Q413="","No date",IF(INT($Q413)&lt;TODAY(),"Overdue",IF(INT($Q413)=TODAY(),"Today",IF(INT($Q413)&lt;=TODAY()+7,"Next 7 days","Later"))))))</x:f>
      </x:c>
      <x:c r="S413" s="57" t="str">
        <x:f>IF(OR($C413="",$P413=""),"",TODAY()-INT($P413))</x:f>
      </x:c>
      <x:c r="T413" s="54"/>
      <x:c r="U413" s="54"/>
      <x:c r="V413" s="63"/>
      <x:c r="W413" s="74"/>
      <x:c r="X413" s="77" t="str">
        <x:f>IF($C413="","",IFERROR(VLOOKUP($M413,'Lists &amp; Rules'!$L$5:$N$13,2,FALSE),0))</x:f>
      </x:c>
      <x:c r="Y413" s="80" t="str">
        <x:f>IF(OR($C413="",$W413=""),"",ROUND($W413*$X413,0))</x:f>
      </x:c>
      <x:c r="Z413" s="57" t="str">
        <x:f>IF($A413="","",COUNTIF('Activity Log'!$C$6:$C$1005,$A413))</x:f>
      </x:c>
      <x:c r="AA413" s="68"/>
      <x:c r="AB413" s="63"/>
    </x:row>
    <x:row r="414">
      <x:c r="A414" s="54"/>
      <x:c r="B414" s="68"/>
      <x:c r="C414" s="54"/>
      <x:c r="D414" s="54"/>
      <x:c r="E414" s="54"/>
      <x:c r="F414" s="54"/>
      <x:c r="G414" s="54"/>
      <x:c r="H414" s="54"/>
      <x:c r="I414" s="54"/>
      <x:c r="J414" s="54"/>
      <x:c r="K414" s="54"/>
      <x:c r="L414" s="54"/>
      <x:c r="M414" s="54"/>
      <x:c r="N414" s="54"/>
      <x:c r="O414" s="57" t="str">
        <x:f>IF($C414="","",MAX(0,MIN(100,IFERROR(VLOOKUP($L414,'Lists &amp; Rules'!$P$5:$Q$8,2,FALSE),0)+IFERROR(VLOOKUP($N414,'Lists &amp; Rules'!$S$5:$T$7,2,FALSE),0)+IFERROR(VLOOKUP($M414,'Lists &amp; Rules'!$L$5:$N$13,3,FALSE),0)+IF($R414="Overdue",-10,IF($R414="Today",5,0))+MIN(15,$Z414*3))))</x:f>
      </x:c>
      <x:c r="P414" s="71" t="str">
        <x:f>IF($A414="","",IF(COUNTIF('Activity Log'!$C$6:$C$1005,$A414)=0,"",MAXIFS('Activity Log'!$B$6:$B$1005,'Activity Log'!$C$6:$C$1005,$A414)))</x:f>
      </x:c>
      <x:c r="Q414" s="71" t="str">
        <x:f>IF($A414="","",IF(COUNTIFS('Activity Log'!$C$6:$C$1005,$A414,'Activity Log'!$J$6:$J$1005,"No",'Activity Log'!$I$6:$I$1005,"&gt;0")=0,"",MINIFS('Activity Log'!$I$6:$I$1005,'Activity Log'!$C$6:$C$1005,$A414,'Activity Log'!$J$6:$J$1005,"No",'Activity Log'!$I$6:$I$1005,"&gt;0")))</x:f>
      </x:c>
      <x:c r="R414" s="57" t="str">
        <x:f>IF($C414="","",IF(OR($K414="Won",$K414="Lost",$K414="Disqualified"),"Closed",IF($Q414="","No date",IF(INT($Q414)&lt;TODAY(),"Overdue",IF(INT($Q414)=TODAY(),"Today",IF(INT($Q414)&lt;=TODAY()+7,"Next 7 days","Later"))))))</x:f>
      </x:c>
      <x:c r="S414" s="57" t="str">
        <x:f>IF(OR($C414="",$P414=""),"",TODAY()-INT($P414))</x:f>
      </x:c>
      <x:c r="T414" s="54"/>
      <x:c r="U414" s="54"/>
      <x:c r="V414" s="63"/>
      <x:c r="W414" s="74"/>
      <x:c r="X414" s="77" t="str">
        <x:f>IF($C414="","",IFERROR(VLOOKUP($M414,'Lists &amp; Rules'!$L$5:$N$13,2,FALSE),0))</x:f>
      </x:c>
      <x:c r="Y414" s="80" t="str">
        <x:f>IF(OR($C414="",$W414=""),"",ROUND($W414*$X414,0))</x:f>
      </x:c>
      <x:c r="Z414" s="57" t="str">
        <x:f>IF($A414="","",COUNTIF('Activity Log'!$C$6:$C$1005,$A414))</x:f>
      </x:c>
      <x:c r="AA414" s="68"/>
      <x:c r="AB414" s="63"/>
    </x:row>
    <x:row r="415">
      <x:c r="A415" s="54"/>
      <x:c r="B415" s="68"/>
      <x:c r="C415" s="54"/>
      <x:c r="D415" s="54"/>
      <x:c r="E415" s="54"/>
      <x:c r="F415" s="54"/>
      <x:c r="G415" s="54"/>
      <x:c r="H415" s="54"/>
      <x:c r="I415" s="54"/>
      <x:c r="J415" s="54"/>
      <x:c r="K415" s="54"/>
      <x:c r="L415" s="54"/>
      <x:c r="M415" s="54"/>
      <x:c r="N415" s="54"/>
      <x:c r="O415" s="57" t="str">
        <x:f>IF($C415="","",MAX(0,MIN(100,IFERROR(VLOOKUP($L415,'Lists &amp; Rules'!$P$5:$Q$8,2,FALSE),0)+IFERROR(VLOOKUP($N415,'Lists &amp; Rules'!$S$5:$T$7,2,FALSE),0)+IFERROR(VLOOKUP($M415,'Lists &amp; Rules'!$L$5:$N$13,3,FALSE),0)+IF($R415="Overdue",-10,IF($R415="Today",5,0))+MIN(15,$Z415*3))))</x:f>
      </x:c>
      <x:c r="P415" s="71" t="str">
        <x:f>IF($A415="","",IF(COUNTIF('Activity Log'!$C$6:$C$1005,$A415)=0,"",MAXIFS('Activity Log'!$B$6:$B$1005,'Activity Log'!$C$6:$C$1005,$A415)))</x:f>
      </x:c>
      <x:c r="Q415" s="71" t="str">
        <x:f>IF($A415="","",IF(COUNTIFS('Activity Log'!$C$6:$C$1005,$A415,'Activity Log'!$J$6:$J$1005,"No",'Activity Log'!$I$6:$I$1005,"&gt;0")=0,"",MINIFS('Activity Log'!$I$6:$I$1005,'Activity Log'!$C$6:$C$1005,$A415,'Activity Log'!$J$6:$J$1005,"No",'Activity Log'!$I$6:$I$1005,"&gt;0")))</x:f>
      </x:c>
      <x:c r="R415" s="57" t="str">
        <x:f>IF($C415="","",IF(OR($K415="Won",$K415="Lost",$K415="Disqualified"),"Closed",IF($Q415="","No date",IF(INT($Q415)&lt;TODAY(),"Overdue",IF(INT($Q415)=TODAY(),"Today",IF(INT($Q415)&lt;=TODAY()+7,"Next 7 days","Later"))))))</x:f>
      </x:c>
      <x:c r="S415" s="57" t="str">
        <x:f>IF(OR($C415="",$P415=""),"",TODAY()-INT($P415))</x:f>
      </x:c>
      <x:c r="T415" s="54"/>
      <x:c r="U415" s="54"/>
      <x:c r="V415" s="63"/>
      <x:c r="W415" s="74"/>
      <x:c r="X415" s="77" t="str">
        <x:f>IF($C415="","",IFERROR(VLOOKUP($M415,'Lists &amp; Rules'!$L$5:$N$13,2,FALSE),0))</x:f>
      </x:c>
      <x:c r="Y415" s="80" t="str">
        <x:f>IF(OR($C415="",$W415=""),"",ROUND($W415*$X415,0))</x:f>
      </x:c>
      <x:c r="Z415" s="57" t="str">
        <x:f>IF($A415="","",COUNTIF('Activity Log'!$C$6:$C$1005,$A415))</x:f>
      </x:c>
      <x:c r="AA415" s="68"/>
      <x:c r="AB415" s="63"/>
    </x:row>
    <x:row r="416">
      <x:c r="A416" s="54"/>
      <x:c r="B416" s="68"/>
      <x:c r="C416" s="54"/>
      <x:c r="D416" s="54"/>
      <x:c r="E416" s="54"/>
      <x:c r="F416" s="54"/>
      <x:c r="G416" s="54"/>
      <x:c r="H416" s="54"/>
      <x:c r="I416" s="54"/>
      <x:c r="J416" s="54"/>
      <x:c r="K416" s="54"/>
      <x:c r="L416" s="54"/>
      <x:c r="M416" s="54"/>
      <x:c r="N416" s="54"/>
      <x:c r="O416" s="57" t="str">
        <x:f>IF($C416="","",MAX(0,MIN(100,IFERROR(VLOOKUP($L416,'Lists &amp; Rules'!$P$5:$Q$8,2,FALSE),0)+IFERROR(VLOOKUP($N416,'Lists &amp; Rules'!$S$5:$T$7,2,FALSE),0)+IFERROR(VLOOKUP($M416,'Lists &amp; Rules'!$L$5:$N$13,3,FALSE),0)+IF($R416="Overdue",-10,IF($R416="Today",5,0))+MIN(15,$Z416*3))))</x:f>
      </x:c>
      <x:c r="P416" s="71" t="str">
        <x:f>IF($A416="","",IF(COUNTIF('Activity Log'!$C$6:$C$1005,$A416)=0,"",MAXIFS('Activity Log'!$B$6:$B$1005,'Activity Log'!$C$6:$C$1005,$A416)))</x:f>
      </x:c>
      <x:c r="Q416" s="71" t="str">
        <x:f>IF($A416="","",IF(COUNTIFS('Activity Log'!$C$6:$C$1005,$A416,'Activity Log'!$J$6:$J$1005,"No",'Activity Log'!$I$6:$I$1005,"&gt;0")=0,"",MINIFS('Activity Log'!$I$6:$I$1005,'Activity Log'!$C$6:$C$1005,$A416,'Activity Log'!$J$6:$J$1005,"No",'Activity Log'!$I$6:$I$1005,"&gt;0")))</x:f>
      </x:c>
      <x:c r="R416" s="57" t="str">
        <x:f>IF($C416="","",IF(OR($K416="Won",$K416="Lost",$K416="Disqualified"),"Closed",IF($Q416="","No date",IF(INT($Q416)&lt;TODAY(),"Overdue",IF(INT($Q416)=TODAY(),"Today",IF(INT($Q416)&lt;=TODAY()+7,"Next 7 days","Later"))))))</x:f>
      </x:c>
      <x:c r="S416" s="57" t="str">
        <x:f>IF(OR($C416="",$P416=""),"",TODAY()-INT($P416))</x:f>
      </x:c>
      <x:c r="T416" s="54"/>
      <x:c r="U416" s="54"/>
      <x:c r="V416" s="63"/>
      <x:c r="W416" s="74"/>
      <x:c r="X416" s="77" t="str">
        <x:f>IF($C416="","",IFERROR(VLOOKUP($M416,'Lists &amp; Rules'!$L$5:$N$13,2,FALSE),0))</x:f>
      </x:c>
      <x:c r="Y416" s="80" t="str">
        <x:f>IF(OR($C416="",$W416=""),"",ROUND($W416*$X416,0))</x:f>
      </x:c>
      <x:c r="Z416" s="57" t="str">
        <x:f>IF($A416="","",COUNTIF('Activity Log'!$C$6:$C$1005,$A416))</x:f>
      </x:c>
      <x:c r="AA416" s="68"/>
      <x:c r="AB416" s="63"/>
    </x:row>
    <x:row r="417">
      <x:c r="A417" s="54"/>
      <x:c r="B417" s="68"/>
      <x:c r="C417" s="54"/>
      <x:c r="D417" s="54"/>
      <x:c r="E417" s="54"/>
      <x:c r="F417" s="54"/>
      <x:c r="G417" s="54"/>
      <x:c r="H417" s="54"/>
      <x:c r="I417" s="54"/>
      <x:c r="J417" s="54"/>
      <x:c r="K417" s="54"/>
      <x:c r="L417" s="54"/>
      <x:c r="M417" s="54"/>
      <x:c r="N417" s="54"/>
      <x:c r="O417" s="57" t="str">
        <x:f>IF($C417="","",MAX(0,MIN(100,IFERROR(VLOOKUP($L417,'Lists &amp; Rules'!$P$5:$Q$8,2,FALSE),0)+IFERROR(VLOOKUP($N417,'Lists &amp; Rules'!$S$5:$T$7,2,FALSE),0)+IFERROR(VLOOKUP($M417,'Lists &amp; Rules'!$L$5:$N$13,3,FALSE),0)+IF($R417="Overdue",-10,IF($R417="Today",5,0))+MIN(15,$Z417*3))))</x:f>
      </x:c>
      <x:c r="P417" s="71" t="str">
        <x:f>IF($A417="","",IF(COUNTIF('Activity Log'!$C$6:$C$1005,$A417)=0,"",MAXIFS('Activity Log'!$B$6:$B$1005,'Activity Log'!$C$6:$C$1005,$A417)))</x:f>
      </x:c>
      <x:c r="Q417" s="71" t="str">
        <x:f>IF($A417="","",IF(COUNTIFS('Activity Log'!$C$6:$C$1005,$A417,'Activity Log'!$J$6:$J$1005,"No",'Activity Log'!$I$6:$I$1005,"&gt;0")=0,"",MINIFS('Activity Log'!$I$6:$I$1005,'Activity Log'!$C$6:$C$1005,$A417,'Activity Log'!$J$6:$J$1005,"No",'Activity Log'!$I$6:$I$1005,"&gt;0")))</x:f>
      </x:c>
      <x:c r="R417" s="57" t="str">
        <x:f>IF($C417="","",IF(OR($K417="Won",$K417="Lost",$K417="Disqualified"),"Closed",IF($Q417="","No date",IF(INT($Q417)&lt;TODAY(),"Overdue",IF(INT($Q417)=TODAY(),"Today",IF(INT($Q417)&lt;=TODAY()+7,"Next 7 days","Later"))))))</x:f>
      </x:c>
      <x:c r="S417" s="57" t="str">
        <x:f>IF(OR($C417="",$P417=""),"",TODAY()-INT($P417))</x:f>
      </x:c>
      <x:c r="T417" s="54"/>
      <x:c r="U417" s="54"/>
      <x:c r="V417" s="63"/>
      <x:c r="W417" s="74"/>
      <x:c r="X417" s="77" t="str">
        <x:f>IF($C417="","",IFERROR(VLOOKUP($M417,'Lists &amp; Rules'!$L$5:$N$13,2,FALSE),0))</x:f>
      </x:c>
      <x:c r="Y417" s="80" t="str">
        <x:f>IF(OR($C417="",$W417=""),"",ROUND($W417*$X417,0))</x:f>
      </x:c>
      <x:c r="Z417" s="57" t="str">
        <x:f>IF($A417="","",COUNTIF('Activity Log'!$C$6:$C$1005,$A417))</x:f>
      </x:c>
      <x:c r="AA417" s="68"/>
      <x:c r="AB417" s="63"/>
    </x:row>
    <x:row r="418">
      <x:c r="A418" s="54"/>
      <x:c r="B418" s="68"/>
      <x:c r="C418" s="54"/>
      <x:c r="D418" s="54"/>
      <x:c r="E418" s="54"/>
      <x:c r="F418" s="54"/>
      <x:c r="G418" s="54"/>
      <x:c r="H418" s="54"/>
      <x:c r="I418" s="54"/>
      <x:c r="J418" s="54"/>
      <x:c r="K418" s="54"/>
      <x:c r="L418" s="54"/>
      <x:c r="M418" s="54"/>
      <x:c r="N418" s="54"/>
      <x:c r="O418" s="57" t="str">
        <x:f>IF($C418="","",MAX(0,MIN(100,IFERROR(VLOOKUP($L418,'Lists &amp; Rules'!$P$5:$Q$8,2,FALSE),0)+IFERROR(VLOOKUP($N418,'Lists &amp; Rules'!$S$5:$T$7,2,FALSE),0)+IFERROR(VLOOKUP($M418,'Lists &amp; Rules'!$L$5:$N$13,3,FALSE),0)+IF($R418="Overdue",-10,IF($R418="Today",5,0))+MIN(15,$Z418*3))))</x:f>
      </x:c>
      <x:c r="P418" s="71" t="str">
        <x:f>IF($A418="","",IF(COUNTIF('Activity Log'!$C$6:$C$1005,$A418)=0,"",MAXIFS('Activity Log'!$B$6:$B$1005,'Activity Log'!$C$6:$C$1005,$A418)))</x:f>
      </x:c>
      <x:c r="Q418" s="71" t="str">
        <x:f>IF($A418="","",IF(COUNTIFS('Activity Log'!$C$6:$C$1005,$A418,'Activity Log'!$J$6:$J$1005,"No",'Activity Log'!$I$6:$I$1005,"&gt;0")=0,"",MINIFS('Activity Log'!$I$6:$I$1005,'Activity Log'!$C$6:$C$1005,$A418,'Activity Log'!$J$6:$J$1005,"No",'Activity Log'!$I$6:$I$1005,"&gt;0")))</x:f>
      </x:c>
      <x:c r="R418" s="57" t="str">
        <x:f>IF($C418="","",IF(OR($K418="Won",$K418="Lost",$K418="Disqualified"),"Closed",IF($Q418="","No date",IF(INT($Q418)&lt;TODAY(),"Overdue",IF(INT($Q418)=TODAY(),"Today",IF(INT($Q418)&lt;=TODAY()+7,"Next 7 days","Later"))))))</x:f>
      </x:c>
      <x:c r="S418" s="57" t="str">
        <x:f>IF(OR($C418="",$P418=""),"",TODAY()-INT($P418))</x:f>
      </x:c>
      <x:c r="T418" s="54"/>
      <x:c r="U418" s="54"/>
      <x:c r="V418" s="63"/>
      <x:c r="W418" s="74"/>
      <x:c r="X418" s="77" t="str">
        <x:f>IF($C418="","",IFERROR(VLOOKUP($M418,'Lists &amp; Rules'!$L$5:$N$13,2,FALSE),0))</x:f>
      </x:c>
      <x:c r="Y418" s="80" t="str">
        <x:f>IF(OR($C418="",$W418=""),"",ROUND($W418*$X418,0))</x:f>
      </x:c>
      <x:c r="Z418" s="57" t="str">
        <x:f>IF($A418="","",COUNTIF('Activity Log'!$C$6:$C$1005,$A418))</x:f>
      </x:c>
      <x:c r="AA418" s="68"/>
      <x:c r="AB418" s="63"/>
    </x:row>
    <x:row r="419">
      <x:c r="A419" s="54"/>
      <x:c r="B419" s="68"/>
      <x:c r="C419" s="54"/>
      <x:c r="D419" s="54"/>
      <x:c r="E419" s="54"/>
      <x:c r="F419" s="54"/>
      <x:c r="G419" s="54"/>
      <x:c r="H419" s="54"/>
      <x:c r="I419" s="54"/>
      <x:c r="J419" s="54"/>
      <x:c r="K419" s="54"/>
      <x:c r="L419" s="54"/>
      <x:c r="M419" s="54"/>
      <x:c r="N419" s="54"/>
      <x:c r="O419" s="57" t="str">
        <x:f>IF($C419="","",MAX(0,MIN(100,IFERROR(VLOOKUP($L419,'Lists &amp; Rules'!$P$5:$Q$8,2,FALSE),0)+IFERROR(VLOOKUP($N419,'Lists &amp; Rules'!$S$5:$T$7,2,FALSE),0)+IFERROR(VLOOKUP($M419,'Lists &amp; Rules'!$L$5:$N$13,3,FALSE),0)+IF($R419="Overdue",-10,IF($R419="Today",5,0))+MIN(15,$Z419*3))))</x:f>
      </x:c>
      <x:c r="P419" s="71" t="str">
        <x:f>IF($A419="","",IF(COUNTIF('Activity Log'!$C$6:$C$1005,$A419)=0,"",MAXIFS('Activity Log'!$B$6:$B$1005,'Activity Log'!$C$6:$C$1005,$A419)))</x:f>
      </x:c>
      <x:c r="Q419" s="71" t="str">
        <x:f>IF($A419="","",IF(COUNTIFS('Activity Log'!$C$6:$C$1005,$A419,'Activity Log'!$J$6:$J$1005,"No",'Activity Log'!$I$6:$I$1005,"&gt;0")=0,"",MINIFS('Activity Log'!$I$6:$I$1005,'Activity Log'!$C$6:$C$1005,$A419,'Activity Log'!$J$6:$J$1005,"No",'Activity Log'!$I$6:$I$1005,"&gt;0")))</x:f>
      </x:c>
      <x:c r="R419" s="57" t="str">
        <x:f>IF($C419="","",IF(OR($K419="Won",$K419="Lost",$K419="Disqualified"),"Closed",IF($Q419="","No date",IF(INT($Q419)&lt;TODAY(),"Overdue",IF(INT($Q419)=TODAY(),"Today",IF(INT($Q419)&lt;=TODAY()+7,"Next 7 days","Later"))))))</x:f>
      </x:c>
      <x:c r="S419" s="57" t="str">
        <x:f>IF(OR($C419="",$P419=""),"",TODAY()-INT($P419))</x:f>
      </x:c>
      <x:c r="T419" s="54"/>
      <x:c r="U419" s="54"/>
      <x:c r="V419" s="63"/>
      <x:c r="W419" s="74"/>
      <x:c r="X419" s="77" t="str">
        <x:f>IF($C419="","",IFERROR(VLOOKUP($M419,'Lists &amp; Rules'!$L$5:$N$13,2,FALSE),0))</x:f>
      </x:c>
      <x:c r="Y419" s="80" t="str">
        <x:f>IF(OR($C419="",$W419=""),"",ROUND($W419*$X419,0))</x:f>
      </x:c>
      <x:c r="Z419" s="57" t="str">
        <x:f>IF($A419="","",COUNTIF('Activity Log'!$C$6:$C$1005,$A419))</x:f>
      </x:c>
      <x:c r="AA419" s="68"/>
      <x:c r="AB419" s="63"/>
    </x:row>
    <x:row r="420">
      <x:c r="A420" s="54"/>
      <x:c r="B420" s="68"/>
      <x:c r="C420" s="54"/>
      <x:c r="D420" s="54"/>
      <x:c r="E420" s="54"/>
      <x:c r="F420" s="54"/>
      <x:c r="G420" s="54"/>
      <x:c r="H420" s="54"/>
      <x:c r="I420" s="54"/>
      <x:c r="J420" s="54"/>
      <x:c r="K420" s="54"/>
      <x:c r="L420" s="54"/>
      <x:c r="M420" s="54"/>
      <x:c r="N420" s="54"/>
      <x:c r="O420" s="57" t="str">
        <x:f>IF($C420="","",MAX(0,MIN(100,IFERROR(VLOOKUP($L420,'Lists &amp; Rules'!$P$5:$Q$8,2,FALSE),0)+IFERROR(VLOOKUP($N420,'Lists &amp; Rules'!$S$5:$T$7,2,FALSE),0)+IFERROR(VLOOKUP($M420,'Lists &amp; Rules'!$L$5:$N$13,3,FALSE),0)+IF($R420="Overdue",-10,IF($R420="Today",5,0))+MIN(15,$Z420*3))))</x:f>
      </x:c>
      <x:c r="P420" s="71" t="str">
        <x:f>IF($A420="","",IF(COUNTIF('Activity Log'!$C$6:$C$1005,$A420)=0,"",MAXIFS('Activity Log'!$B$6:$B$1005,'Activity Log'!$C$6:$C$1005,$A420)))</x:f>
      </x:c>
      <x:c r="Q420" s="71" t="str">
        <x:f>IF($A420="","",IF(COUNTIFS('Activity Log'!$C$6:$C$1005,$A420,'Activity Log'!$J$6:$J$1005,"No",'Activity Log'!$I$6:$I$1005,"&gt;0")=0,"",MINIFS('Activity Log'!$I$6:$I$1005,'Activity Log'!$C$6:$C$1005,$A420,'Activity Log'!$J$6:$J$1005,"No",'Activity Log'!$I$6:$I$1005,"&gt;0")))</x:f>
      </x:c>
      <x:c r="R420" s="57" t="str">
        <x:f>IF($C420="","",IF(OR($K420="Won",$K420="Lost",$K420="Disqualified"),"Closed",IF($Q420="","No date",IF(INT($Q420)&lt;TODAY(),"Overdue",IF(INT($Q420)=TODAY(),"Today",IF(INT($Q420)&lt;=TODAY()+7,"Next 7 days","Later"))))))</x:f>
      </x:c>
      <x:c r="S420" s="57" t="str">
        <x:f>IF(OR($C420="",$P420=""),"",TODAY()-INT($P420))</x:f>
      </x:c>
      <x:c r="T420" s="54"/>
      <x:c r="U420" s="54"/>
      <x:c r="V420" s="63"/>
      <x:c r="W420" s="74"/>
      <x:c r="X420" s="77" t="str">
        <x:f>IF($C420="","",IFERROR(VLOOKUP($M420,'Lists &amp; Rules'!$L$5:$N$13,2,FALSE),0))</x:f>
      </x:c>
      <x:c r="Y420" s="80" t="str">
        <x:f>IF(OR($C420="",$W420=""),"",ROUND($W420*$X420,0))</x:f>
      </x:c>
      <x:c r="Z420" s="57" t="str">
        <x:f>IF($A420="","",COUNTIF('Activity Log'!$C$6:$C$1005,$A420))</x:f>
      </x:c>
      <x:c r="AA420" s="68"/>
      <x:c r="AB420" s="63"/>
    </x:row>
    <x:row r="421">
      <x:c r="A421" s="54"/>
      <x:c r="B421" s="68"/>
      <x:c r="C421" s="54"/>
      <x:c r="D421" s="54"/>
      <x:c r="E421" s="54"/>
      <x:c r="F421" s="54"/>
      <x:c r="G421" s="54"/>
      <x:c r="H421" s="54"/>
      <x:c r="I421" s="54"/>
      <x:c r="J421" s="54"/>
      <x:c r="K421" s="54"/>
      <x:c r="L421" s="54"/>
      <x:c r="M421" s="54"/>
      <x:c r="N421" s="54"/>
      <x:c r="O421" s="57" t="str">
        <x:f>IF($C421="","",MAX(0,MIN(100,IFERROR(VLOOKUP($L421,'Lists &amp; Rules'!$P$5:$Q$8,2,FALSE),0)+IFERROR(VLOOKUP($N421,'Lists &amp; Rules'!$S$5:$T$7,2,FALSE),0)+IFERROR(VLOOKUP($M421,'Lists &amp; Rules'!$L$5:$N$13,3,FALSE),0)+IF($R421="Overdue",-10,IF($R421="Today",5,0))+MIN(15,$Z421*3))))</x:f>
      </x:c>
      <x:c r="P421" s="71" t="str">
        <x:f>IF($A421="","",IF(COUNTIF('Activity Log'!$C$6:$C$1005,$A421)=0,"",MAXIFS('Activity Log'!$B$6:$B$1005,'Activity Log'!$C$6:$C$1005,$A421)))</x:f>
      </x:c>
      <x:c r="Q421" s="71" t="str">
        <x:f>IF($A421="","",IF(COUNTIFS('Activity Log'!$C$6:$C$1005,$A421,'Activity Log'!$J$6:$J$1005,"No",'Activity Log'!$I$6:$I$1005,"&gt;0")=0,"",MINIFS('Activity Log'!$I$6:$I$1005,'Activity Log'!$C$6:$C$1005,$A421,'Activity Log'!$J$6:$J$1005,"No",'Activity Log'!$I$6:$I$1005,"&gt;0")))</x:f>
      </x:c>
      <x:c r="R421" s="57" t="str">
        <x:f>IF($C421="","",IF(OR($K421="Won",$K421="Lost",$K421="Disqualified"),"Closed",IF($Q421="","No date",IF(INT($Q421)&lt;TODAY(),"Overdue",IF(INT($Q421)=TODAY(),"Today",IF(INT($Q421)&lt;=TODAY()+7,"Next 7 days","Later"))))))</x:f>
      </x:c>
      <x:c r="S421" s="57" t="str">
        <x:f>IF(OR($C421="",$P421=""),"",TODAY()-INT($P421))</x:f>
      </x:c>
      <x:c r="T421" s="54"/>
      <x:c r="U421" s="54"/>
      <x:c r="V421" s="63"/>
      <x:c r="W421" s="74"/>
      <x:c r="X421" s="77" t="str">
        <x:f>IF($C421="","",IFERROR(VLOOKUP($M421,'Lists &amp; Rules'!$L$5:$N$13,2,FALSE),0))</x:f>
      </x:c>
      <x:c r="Y421" s="80" t="str">
        <x:f>IF(OR($C421="",$W421=""),"",ROUND($W421*$X421,0))</x:f>
      </x:c>
      <x:c r="Z421" s="57" t="str">
        <x:f>IF($A421="","",COUNTIF('Activity Log'!$C$6:$C$1005,$A421))</x:f>
      </x:c>
      <x:c r="AA421" s="68"/>
      <x:c r="AB421" s="63"/>
    </x:row>
    <x:row r="422">
      <x:c r="A422" s="54"/>
      <x:c r="B422" s="68"/>
      <x:c r="C422" s="54"/>
      <x:c r="D422" s="54"/>
      <x:c r="E422" s="54"/>
      <x:c r="F422" s="54"/>
      <x:c r="G422" s="54"/>
      <x:c r="H422" s="54"/>
      <x:c r="I422" s="54"/>
      <x:c r="J422" s="54"/>
      <x:c r="K422" s="54"/>
      <x:c r="L422" s="54"/>
      <x:c r="M422" s="54"/>
      <x:c r="N422" s="54"/>
      <x:c r="O422" s="57" t="str">
        <x:f>IF($C422="","",MAX(0,MIN(100,IFERROR(VLOOKUP($L422,'Lists &amp; Rules'!$P$5:$Q$8,2,FALSE),0)+IFERROR(VLOOKUP($N422,'Lists &amp; Rules'!$S$5:$T$7,2,FALSE),0)+IFERROR(VLOOKUP($M422,'Lists &amp; Rules'!$L$5:$N$13,3,FALSE),0)+IF($R422="Overdue",-10,IF($R422="Today",5,0))+MIN(15,$Z422*3))))</x:f>
      </x:c>
      <x:c r="P422" s="71" t="str">
        <x:f>IF($A422="","",IF(COUNTIF('Activity Log'!$C$6:$C$1005,$A422)=0,"",MAXIFS('Activity Log'!$B$6:$B$1005,'Activity Log'!$C$6:$C$1005,$A422)))</x:f>
      </x:c>
      <x:c r="Q422" s="71" t="str">
        <x:f>IF($A422="","",IF(COUNTIFS('Activity Log'!$C$6:$C$1005,$A422,'Activity Log'!$J$6:$J$1005,"No",'Activity Log'!$I$6:$I$1005,"&gt;0")=0,"",MINIFS('Activity Log'!$I$6:$I$1005,'Activity Log'!$C$6:$C$1005,$A422,'Activity Log'!$J$6:$J$1005,"No",'Activity Log'!$I$6:$I$1005,"&gt;0")))</x:f>
      </x:c>
      <x:c r="R422" s="57" t="str">
        <x:f>IF($C422="","",IF(OR($K422="Won",$K422="Lost",$K422="Disqualified"),"Closed",IF($Q422="","No date",IF(INT($Q422)&lt;TODAY(),"Overdue",IF(INT($Q422)=TODAY(),"Today",IF(INT($Q422)&lt;=TODAY()+7,"Next 7 days","Later"))))))</x:f>
      </x:c>
      <x:c r="S422" s="57" t="str">
        <x:f>IF(OR($C422="",$P422=""),"",TODAY()-INT($P422))</x:f>
      </x:c>
      <x:c r="T422" s="54"/>
      <x:c r="U422" s="54"/>
      <x:c r="V422" s="63"/>
      <x:c r="W422" s="74"/>
      <x:c r="X422" s="77" t="str">
        <x:f>IF($C422="","",IFERROR(VLOOKUP($M422,'Lists &amp; Rules'!$L$5:$N$13,2,FALSE),0))</x:f>
      </x:c>
      <x:c r="Y422" s="80" t="str">
        <x:f>IF(OR($C422="",$W422=""),"",ROUND($W422*$X422,0))</x:f>
      </x:c>
      <x:c r="Z422" s="57" t="str">
        <x:f>IF($A422="","",COUNTIF('Activity Log'!$C$6:$C$1005,$A422))</x:f>
      </x:c>
      <x:c r="AA422" s="68"/>
      <x:c r="AB422" s="63"/>
    </x:row>
    <x:row r="423">
      <x:c r="A423" s="54"/>
      <x:c r="B423" s="68"/>
      <x:c r="C423" s="54"/>
      <x:c r="D423" s="54"/>
      <x:c r="E423" s="54"/>
      <x:c r="F423" s="54"/>
      <x:c r="G423" s="54"/>
      <x:c r="H423" s="54"/>
      <x:c r="I423" s="54"/>
      <x:c r="J423" s="54"/>
      <x:c r="K423" s="54"/>
      <x:c r="L423" s="54"/>
      <x:c r="M423" s="54"/>
      <x:c r="N423" s="54"/>
      <x:c r="O423" s="57" t="str">
        <x:f>IF($C423="","",MAX(0,MIN(100,IFERROR(VLOOKUP($L423,'Lists &amp; Rules'!$P$5:$Q$8,2,FALSE),0)+IFERROR(VLOOKUP($N423,'Lists &amp; Rules'!$S$5:$T$7,2,FALSE),0)+IFERROR(VLOOKUP($M423,'Lists &amp; Rules'!$L$5:$N$13,3,FALSE),0)+IF($R423="Overdue",-10,IF($R423="Today",5,0))+MIN(15,$Z423*3))))</x:f>
      </x:c>
      <x:c r="P423" s="71" t="str">
        <x:f>IF($A423="","",IF(COUNTIF('Activity Log'!$C$6:$C$1005,$A423)=0,"",MAXIFS('Activity Log'!$B$6:$B$1005,'Activity Log'!$C$6:$C$1005,$A423)))</x:f>
      </x:c>
      <x:c r="Q423" s="71" t="str">
        <x:f>IF($A423="","",IF(COUNTIFS('Activity Log'!$C$6:$C$1005,$A423,'Activity Log'!$J$6:$J$1005,"No",'Activity Log'!$I$6:$I$1005,"&gt;0")=0,"",MINIFS('Activity Log'!$I$6:$I$1005,'Activity Log'!$C$6:$C$1005,$A423,'Activity Log'!$J$6:$J$1005,"No",'Activity Log'!$I$6:$I$1005,"&gt;0")))</x:f>
      </x:c>
      <x:c r="R423" s="57" t="str">
        <x:f>IF($C423="","",IF(OR($K423="Won",$K423="Lost",$K423="Disqualified"),"Closed",IF($Q423="","No date",IF(INT($Q423)&lt;TODAY(),"Overdue",IF(INT($Q423)=TODAY(),"Today",IF(INT($Q423)&lt;=TODAY()+7,"Next 7 days","Later"))))))</x:f>
      </x:c>
      <x:c r="S423" s="57" t="str">
        <x:f>IF(OR($C423="",$P423=""),"",TODAY()-INT($P423))</x:f>
      </x:c>
      <x:c r="T423" s="54"/>
      <x:c r="U423" s="54"/>
      <x:c r="V423" s="63"/>
      <x:c r="W423" s="74"/>
      <x:c r="X423" s="77" t="str">
        <x:f>IF($C423="","",IFERROR(VLOOKUP($M423,'Lists &amp; Rules'!$L$5:$N$13,2,FALSE),0))</x:f>
      </x:c>
      <x:c r="Y423" s="80" t="str">
        <x:f>IF(OR($C423="",$W423=""),"",ROUND($W423*$X423,0))</x:f>
      </x:c>
      <x:c r="Z423" s="57" t="str">
        <x:f>IF($A423="","",COUNTIF('Activity Log'!$C$6:$C$1005,$A423))</x:f>
      </x:c>
      <x:c r="AA423" s="68"/>
      <x:c r="AB423" s="63"/>
    </x:row>
    <x:row r="424">
      <x:c r="A424" s="54"/>
      <x:c r="B424" s="68"/>
      <x:c r="C424" s="54"/>
      <x:c r="D424" s="54"/>
      <x:c r="E424" s="54"/>
      <x:c r="F424" s="54"/>
      <x:c r="G424" s="54"/>
      <x:c r="H424" s="54"/>
      <x:c r="I424" s="54"/>
      <x:c r="J424" s="54"/>
      <x:c r="K424" s="54"/>
      <x:c r="L424" s="54"/>
      <x:c r="M424" s="54"/>
      <x:c r="N424" s="54"/>
      <x:c r="O424" s="57" t="str">
        <x:f>IF($C424="","",MAX(0,MIN(100,IFERROR(VLOOKUP($L424,'Lists &amp; Rules'!$P$5:$Q$8,2,FALSE),0)+IFERROR(VLOOKUP($N424,'Lists &amp; Rules'!$S$5:$T$7,2,FALSE),0)+IFERROR(VLOOKUP($M424,'Lists &amp; Rules'!$L$5:$N$13,3,FALSE),0)+IF($R424="Overdue",-10,IF($R424="Today",5,0))+MIN(15,$Z424*3))))</x:f>
      </x:c>
      <x:c r="P424" s="71" t="str">
        <x:f>IF($A424="","",IF(COUNTIF('Activity Log'!$C$6:$C$1005,$A424)=0,"",MAXIFS('Activity Log'!$B$6:$B$1005,'Activity Log'!$C$6:$C$1005,$A424)))</x:f>
      </x:c>
      <x:c r="Q424" s="71" t="str">
        <x:f>IF($A424="","",IF(COUNTIFS('Activity Log'!$C$6:$C$1005,$A424,'Activity Log'!$J$6:$J$1005,"No",'Activity Log'!$I$6:$I$1005,"&gt;0")=0,"",MINIFS('Activity Log'!$I$6:$I$1005,'Activity Log'!$C$6:$C$1005,$A424,'Activity Log'!$J$6:$J$1005,"No",'Activity Log'!$I$6:$I$1005,"&gt;0")))</x:f>
      </x:c>
      <x:c r="R424" s="57" t="str">
        <x:f>IF($C424="","",IF(OR($K424="Won",$K424="Lost",$K424="Disqualified"),"Closed",IF($Q424="","No date",IF(INT($Q424)&lt;TODAY(),"Overdue",IF(INT($Q424)=TODAY(),"Today",IF(INT($Q424)&lt;=TODAY()+7,"Next 7 days","Later"))))))</x:f>
      </x:c>
      <x:c r="S424" s="57" t="str">
        <x:f>IF(OR($C424="",$P424=""),"",TODAY()-INT($P424))</x:f>
      </x:c>
      <x:c r="T424" s="54"/>
      <x:c r="U424" s="54"/>
      <x:c r="V424" s="63"/>
      <x:c r="W424" s="74"/>
      <x:c r="X424" s="77" t="str">
        <x:f>IF($C424="","",IFERROR(VLOOKUP($M424,'Lists &amp; Rules'!$L$5:$N$13,2,FALSE),0))</x:f>
      </x:c>
      <x:c r="Y424" s="80" t="str">
        <x:f>IF(OR($C424="",$W424=""),"",ROUND($W424*$X424,0))</x:f>
      </x:c>
      <x:c r="Z424" s="57" t="str">
        <x:f>IF($A424="","",COUNTIF('Activity Log'!$C$6:$C$1005,$A424))</x:f>
      </x:c>
      <x:c r="AA424" s="68"/>
      <x:c r="AB424" s="63"/>
    </x:row>
    <x:row r="425">
      <x:c r="A425" s="54"/>
      <x:c r="B425" s="68"/>
      <x:c r="C425" s="54"/>
      <x:c r="D425" s="54"/>
      <x:c r="E425" s="54"/>
      <x:c r="F425" s="54"/>
      <x:c r="G425" s="54"/>
      <x:c r="H425" s="54"/>
      <x:c r="I425" s="54"/>
      <x:c r="J425" s="54"/>
      <x:c r="K425" s="54"/>
      <x:c r="L425" s="54"/>
      <x:c r="M425" s="54"/>
      <x:c r="N425" s="54"/>
      <x:c r="O425" s="57" t="str">
        <x:f>IF($C425="","",MAX(0,MIN(100,IFERROR(VLOOKUP($L425,'Lists &amp; Rules'!$P$5:$Q$8,2,FALSE),0)+IFERROR(VLOOKUP($N425,'Lists &amp; Rules'!$S$5:$T$7,2,FALSE),0)+IFERROR(VLOOKUP($M425,'Lists &amp; Rules'!$L$5:$N$13,3,FALSE),0)+IF($R425="Overdue",-10,IF($R425="Today",5,0))+MIN(15,$Z425*3))))</x:f>
      </x:c>
      <x:c r="P425" s="71" t="str">
        <x:f>IF($A425="","",IF(COUNTIF('Activity Log'!$C$6:$C$1005,$A425)=0,"",MAXIFS('Activity Log'!$B$6:$B$1005,'Activity Log'!$C$6:$C$1005,$A425)))</x:f>
      </x:c>
      <x:c r="Q425" s="71" t="str">
        <x:f>IF($A425="","",IF(COUNTIFS('Activity Log'!$C$6:$C$1005,$A425,'Activity Log'!$J$6:$J$1005,"No",'Activity Log'!$I$6:$I$1005,"&gt;0")=0,"",MINIFS('Activity Log'!$I$6:$I$1005,'Activity Log'!$C$6:$C$1005,$A425,'Activity Log'!$J$6:$J$1005,"No",'Activity Log'!$I$6:$I$1005,"&gt;0")))</x:f>
      </x:c>
      <x:c r="R425" s="57" t="str">
        <x:f>IF($C425="","",IF(OR($K425="Won",$K425="Lost",$K425="Disqualified"),"Closed",IF($Q425="","No date",IF(INT($Q425)&lt;TODAY(),"Overdue",IF(INT($Q425)=TODAY(),"Today",IF(INT($Q425)&lt;=TODAY()+7,"Next 7 days","Later"))))))</x:f>
      </x:c>
      <x:c r="S425" s="57" t="str">
        <x:f>IF(OR($C425="",$P425=""),"",TODAY()-INT($P425))</x:f>
      </x:c>
      <x:c r="T425" s="54"/>
      <x:c r="U425" s="54"/>
      <x:c r="V425" s="63"/>
      <x:c r="W425" s="74"/>
      <x:c r="X425" s="77" t="str">
        <x:f>IF($C425="","",IFERROR(VLOOKUP($M425,'Lists &amp; Rules'!$L$5:$N$13,2,FALSE),0))</x:f>
      </x:c>
      <x:c r="Y425" s="80" t="str">
        <x:f>IF(OR($C425="",$W425=""),"",ROUND($W425*$X425,0))</x:f>
      </x:c>
      <x:c r="Z425" s="57" t="str">
        <x:f>IF($A425="","",COUNTIF('Activity Log'!$C$6:$C$1005,$A425))</x:f>
      </x:c>
      <x:c r="AA425" s="68"/>
      <x:c r="AB425" s="63"/>
    </x:row>
    <x:row r="426">
      <x:c r="A426" s="54"/>
      <x:c r="B426" s="68"/>
      <x:c r="C426" s="54"/>
      <x:c r="D426" s="54"/>
      <x:c r="E426" s="54"/>
      <x:c r="F426" s="54"/>
      <x:c r="G426" s="54"/>
      <x:c r="H426" s="54"/>
      <x:c r="I426" s="54"/>
      <x:c r="J426" s="54"/>
      <x:c r="K426" s="54"/>
      <x:c r="L426" s="54"/>
      <x:c r="M426" s="54"/>
      <x:c r="N426" s="54"/>
      <x:c r="O426" s="57" t="str">
        <x:f>IF($C426="","",MAX(0,MIN(100,IFERROR(VLOOKUP($L426,'Lists &amp; Rules'!$P$5:$Q$8,2,FALSE),0)+IFERROR(VLOOKUP($N426,'Lists &amp; Rules'!$S$5:$T$7,2,FALSE),0)+IFERROR(VLOOKUP($M426,'Lists &amp; Rules'!$L$5:$N$13,3,FALSE),0)+IF($R426="Overdue",-10,IF($R426="Today",5,0))+MIN(15,$Z426*3))))</x:f>
      </x:c>
      <x:c r="P426" s="71" t="str">
        <x:f>IF($A426="","",IF(COUNTIF('Activity Log'!$C$6:$C$1005,$A426)=0,"",MAXIFS('Activity Log'!$B$6:$B$1005,'Activity Log'!$C$6:$C$1005,$A426)))</x:f>
      </x:c>
      <x:c r="Q426" s="71" t="str">
        <x:f>IF($A426="","",IF(COUNTIFS('Activity Log'!$C$6:$C$1005,$A426,'Activity Log'!$J$6:$J$1005,"No",'Activity Log'!$I$6:$I$1005,"&gt;0")=0,"",MINIFS('Activity Log'!$I$6:$I$1005,'Activity Log'!$C$6:$C$1005,$A426,'Activity Log'!$J$6:$J$1005,"No",'Activity Log'!$I$6:$I$1005,"&gt;0")))</x:f>
      </x:c>
      <x:c r="R426" s="57" t="str">
        <x:f>IF($C426="","",IF(OR($K426="Won",$K426="Lost",$K426="Disqualified"),"Closed",IF($Q426="","No date",IF(INT($Q426)&lt;TODAY(),"Overdue",IF(INT($Q426)=TODAY(),"Today",IF(INT($Q426)&lt;=TODAY()+7,"Next 7 days","Later"))))))</x:f>
      </x:c>
      <x:c r="S426" s="57" t="str">
        <x:f>IF(OR($C426="",$P426=""),"",TODAY()-INT($P426))</x:f>
      </x:c>
      <x:c r="T426" s="54"/>
      <x:c r="U426" s="54"/>
      <x:c r="V426" s="63"/>
      <x:c r="W426" s="74"/>
      <x:c r="X426" s="77" t="str">
        <x:f>IF($C426="","",IFERROR(VLOOKUP($M426,'Lists &amp; Rules'!$L$5:$N$13,2,FALSE),0))</x:f>
      </x:c>
      <x:c r="Y426" s="80" t="str">
        <x:f>IF(OR($C426="",$W426=""),"",ROUND($W426*$X426,0))</x:f>
      </x:c>
      <x:c r="Z426" s="57" t="str">
        <x:f>IF($A426="","",COUNTIF('Activity Log'!$C$6:$C$1005,$A426))</x:f>
      </x:c>
      <x:c r="AA426" s="68"/>
      <x:c r="AB426" s="63"/>
    </x:row>
    <x:row r="427">
      <x:c r="A427" s="54"/>
      <x:c r="B427" s="68"/>
      <x:c r="C427" s="54"/>
      <x:c r="D427" s="54"/>
      <x:c r="E427" s="54"/>
      <x:c r="F427" s="54"/>
      <x:c r="G427" s="54"/>
      <x:c r="H427" s="54"/>
      <x:c r="I427" s="54"/>
      <x:c r="J427" s="54"/>
      <x:c r="K427" s="54"/>
      <x:c r="L427" s="54"/>
      <x:c r="M427" s="54"/>
      <x:c r="N427" s="54"/>
      <x:c r="O427" s="57" t="str">
        <x:f>IF($C427="","",MAX(0,MIN(100,IFERROR(VLOOKUP($L427,'Lists &amp; Rules'!$P$5:$Q$8,2,FALSE),0)+IFERROR(VLOOKUP($N427,'Lists &amp; Rules'!$S$5:$T$7,2,FALSE),0)+IFERROR(VLOOKUP($M427,'Lists &amp; Rules'!$L$5:$N$13,3,FALSE),0)+IF($R427="Overdue",-10,IF($R427="Today",5,0))+MIN(15,$Z427*3))))</x:f>
      </x:c>
      <x:c r="P427" s="71" t="str">
        <x:f>IF($A427="","",IF(COUNTIF('Activity Log'!$C$6:$C$1005,$A427)=0,"",MAXIFS('Activity Log'!$B$6:$B$1005,'Activity Log'!$C$6:$C$1005,$A427)))</x:f>
      </x:c>
      <x:c r="Q427" s="71" t="str">
        <x:f>IF($A427="","",IF(COUNTIFS('Activity Log'!$C$6:$C$1005,$A427,'Activity Log'!$J$6:$J$1005,"No",'Activity Log'!$I$6:$I$1005,"&gt;0")=0,"",MINIFS('Activity Log'!$I$6:$I$1005,'Activity Log'!$C$6:$C$1005,$A427,'Activity Log'!$J$6:$J$1005,"No",'Activity Log'!$I$6:$I$1005,"&gt;0")))</x:f>
      </x:c>
      <x:c r="R427" s="57" t="str">
        <x:f>IF($C427="","",IF(OR($K427="Won",$K427="Lost",$K427="Disqualified"),"Closed",IF($Q427="","No date",IF(INT($Q427)&lt;TODAY(),"Overdue",IF(INT($Q427)=TODAY(),"Today",IF(INT($Q427)&lt;=TODAY()+7,"Next 7 days","Later"))))))</x:f>
      </x:c>
      <x:c r="S427" s="57" t="str">
        <x:f>IF(OR($C427="",$P427=""),"",TODAY()-INT($P427))</x:f>
      </x:c>
      <x:c r="T427" s="54"/>
      <x:c r="U427" s="54"/>
      <x:c r="V427" s="63"/>
      <x:c r="W427" s="74"/>
      <x:c r="X427" s="77" t="str">
        <x:f>IF($C427="","",IFERROR(VLOOKUP($M427,'Lists &amp; Rules'!$L$5:$N$13,2,FALSE),0))</x:f>
      </x:c>
      <x:c r="Y427" s="80" t="str">
        <x:f>IF(OR($C427="",$W427=""),"",ROUND($W427*$X427,0))</x:f>
      </x:c>
      <x:c r="Z427" s="57" t="str">
        <x:f>IF($A427="","",COUNTIF('Activity Log'!$C$6:$C$1005,$A427))</x:f>
      </x:c>
      <x:c r="AA427" s="68"/>
      <x:c r="AB427" s="63"/>
    </x:row>
    <x:row r="428">
      <x:c r="A428" s="54"/>
      <x:c r="B428" s="68"/>
      <x:c r="C428" s="54"/>
      <x:c r="D428" s="54"/>
      <x:c r="E428" s="54"/>
      <x:c r="F428" s="54"/>
      <x:c r="G428" s="54"/>
      <x:c r="H428" s="54"/>
      <x:c r="I428" s="54"/>
      <x:c r="J428" s="54"/>
      <x:c r="K428" s="54"/>
      <x:c r="L428" s="54"/>
      <x:c r="M428" s="54"/>
      <x:c r="N428" s="54"/>
      <x:c r="O428" s="57" t="str">
        <x:f>IF($C428="","",MAX(0,MIN(100,IFERROR(VLOOKUP($L428,'Lists &amp; Rules'!$P$5:$Q$8,2,FALSE),0)+IFERROR(VLOOKUP($N428,'Lists &amp; Rules'!$S$5:$T$7,2,FALSE),0)+IFERROR(VLOOKUP($M428,'Lists &amp; Rules'!$L$5:$N$13,3,FALSE),0)+IF($R428="Overdue",-10,IF($R428="Today",5,0))+MIN(15,$Z428*3))))</x:f>
      </x:c>
      <x:c r="P428" s="71" t="str">
        <x:f>IF($A428="","",IF(COUNTIF('Activity Log'!$C$6:$C$1005,$A428)=0,"",MAXIFS('Activity Log'!$B$6:$B$1005,'Activity Log'!$C$6:$C$1005,$A428)))</x:f>
      </x:c>
      <x:c r="Q428" s="71" t="str">
        <x:f>IF($A428="","",IF(COUNTIFS('Activity Log'!$C$6:$C$1005,$A428,'Activity Log'!$J$6:$J$1005,"No",'Activity Log'!$I$6:$I$1005,"&gt;0")=0,"",MINIFS('Activity Log'!$I$6:$I$1005,'Activity Log'!$C$6:$C$1005,$A428,'Activity Log'!$J$6:$J$1005,"No",'Activity Log'!$I$6:$I$1005,"&gt;0")))</x:f>
      </x:c>
      <x:c r="R428" s="57" t="str">
        <x:f>IF($C428="","",IF(OR($K428="Won",$K428="Lost",$K428="Disqualified"),"Closed",IF($Q428="","No date",IF(INT($Q428)&lt;TODAY(),"Overdue",IF(INT($Q428)=TODAY(),"Today",IF(INT($Q428)&lt;=TODAY()+7,"Next 7 days","Later"))))))</x:f>
      </x:c>
      <x:c r="S428" s="57" t="str">
        <x:f>IF(OR($C428="",$P428=""),"",TODAY()-INT($P428))</x:f>
      </x:c>
      <x:c r="T428" s="54"/>
      <x:c r="U428" s="54"/>
      <x:c r="V428" s="63"/>
      <x:c r="W428" s="74"/>
      <x:c r="X428" s="77" t="str">
        <x:f>IF($C428="","",IFERROR(VLOOKUP($M428,'Lists &amp; Rules'!$L$5:$N$13,2,FALSE),0))</x:f>
      </x:c>
      <x:c r="Y428" s="80" t="str">
        <x:f>IF(OR($C428="",$W428=""),"",ROUND($W428*$X428,0))</x:f>
      </x:c>
      <x:c r="Z428" s="57" t="str">
        <x:f>IF($A428="","",COUNTIF('Activity Log'!$C$6:$C$1005,$A428))</x:f>
      </x:c>
      <x:c r="AA428" s="68"/>
      <x:c r="AB428" s="63"/>
    </x:row>
    <x:row r="429">
      <x:c r="A429" s="54"/>
      <x:c r="B429" s="68"/>
      <x:c r="C429" s="54"/>
      <x:c r="D429" s="54"/>
      <x:c r="E429" s="54"/>
      <x:c r="F429" s="54"/>
      <x:c r="G429" s="54"/>
      <x:c r="H429" s="54"/>
      <x:c r="I429" s="54"/>
      <x:c r="J429" s="54"/>
      <x:c r="K429" s="54"/>
      <x:c r="L429" s="54"/>
      <x:c r="M429" s="54"/>
      <x:c r="N429" s="54"/>
      <x:c r="O429" s="57" t="str">
        <x:f>IF($C429="","",MAX(0,MIN(100,IFERROR(VLOOKUP($L429,'Lists &amp; Rules'!$P$5:$Q$8,2,FALSE),0)+IFERROR(VLOOKUP($N429,'Lists &amp; Rules'!$S$5:$T$7,2,FALSE),0)+IFERROR(VLOOKUP($M429,'Lists &amp; Rules'!$L$5:$N$13,3,FALSE),0)+IF($R429="Overdue",-10,IF($R429="Today",5,0))+MIN(15,$Z429*3))))</x:f>
      </x:c>
      <x:c r="P429" s="71" t="str">
        <x:f>IF($A429="","",IF(COUNTIF('Activity Log'!$C$6:$C$1005,$A429)=0,"",MAXIFS('Activity Log'!$B$6:$B$1005,'Activity Log'!$C$6:$C$1005,$A429)))</x:f>
      </x:c>
      <x:c r="Q429" s="71" t="str">
        <x:f>IF($A429="","",IF(COUNTIFS('Activity Log'!$C$6:$C$1005,$A429,'Activity Log'!$J$6:$J$1005,"No",'Activity Log'!$I$6:$I$1005,"&gt;0")=0,"",MINIFS('Activity Log'!$I$6:$I$1005,'Activity Log'!$C$6:$C$1005,$A429,'Activity Log'!$J$6:$J$1005,"No",'Activity Log'!$I$6:$I$1005,"&gt;0")))</x:f>
      </x:c>
      <x:c r="R429" s="57" t="str">
        <x:f>IF($C429="","",IF(OR($K429="Won",$K429="Lost",$K429="Disqualified"),"Closed",IF($Q429="","No date",IF(INT($Q429)&lt;TODAY(),"Overdue",IF(INT($Q429)=TODAY(),"Today",IF(INT($Q429)&lt;=TODAY()+7,"Next 7 days","Later"))))))</x:f>
      </x:c>
      <x:c r="S429" s="57" t="str">
        <x:f>IF(OR($C429="",$P429=""),"",TODAY()-INT($P429))</x:f>
      </x:c>
      <x:c r="T429" s="54"/>
      <x:c r="U429" s="54"/>
      <x:c r="V429" s="63"/>
      <x:c r="W429" s="74"/>
      <x:c r="X429" s="77" t="str">
        <x:f>IF($C429="","",IFERROR(VLOOKUP($M429,'Lists &amp; Rules'!$L$5:$N$13,2,FALSE),0))</x:f>
      </x:c>
      <x:c r="Y429" s="80" t="str">
        <x:f>IF(OR($C429="",$W429=""),"",ROUND($W429*$X429,0))</x:f>
      </x:c>
      <x:c r="Z429" s="57" t="str">
        <x:f>IF($A429="","",COUNTIF('Activity Log'!$C$6:$C$1005,$A429))</x:f>
      </x:c>
      <x:c r="AA429" s="68"/>
      <x:c r="AB429" s="63"/>
    </x:row>
    <x:row r="430">
      <x:c r="A430" s="54"/>
      <x:c r="B430" s="68"/>
      <x:c r="C430" s="54"/>
      <x:c r="D430" s="54"/>
      <x:c r="E430" s="54"/>
      <x:c r="F430" s="54"/>
      <x:c r="G430" s="54"/>
      <x:c r="H430" s="54"/>
      <x:c r="I430" s="54"/>
      <x:c r="J430" s="54"/>
      <x:c r="K430" s="54"/>
      <x:c r="L430" s="54"/>
      <x:c r="M430" s="54"/>
      <x:c r="N430" s="54"/>
      <x:c r="O430" s="57" t="str">
        <x:f>IF($C430="","",MAX(0,MIN(100,IFERROR(VLOOKUP($L430,'Lists &amp; Rules'!$P$5:$Q$8,2,FALSE),0)+IFERROR(VLOOKUP($N430,'Lists &amp; Rules'!$S$5:$T$7,2,FALSE),0)+IFERROR(VLOOKUP($M430,'Lists &amp; Rules'!$L$5:$N$13,3,FALSE),0)+IF($R430="Overdue",-10,IF($R430="Today",5,0))+MIN(15,$Z430*3))))</x:f>
      </x:c>
      <x:c r="P430" s="71" t="str">
        <x:f>IF($A430="","",IF(COUNTIF('Activity Log'!$C$6:$C$1005,$A430)=0,"",MAXIFS('Activity Log'!$B$6:$B$1005,'Activity Log'!$C$6:$C$1005,$A430)))</x:f>
      </x:c>
      <x:c r="Q430" s="71" t="str">
        <x:f>IF($A430="","",IF(COUNTIFS('Activity Log'!$C$6:$C$1005,$A430,'Activity Log'!$J$6:$J$1005,"No",'Activity Log'!$I$6:$I$1005,"&gt;0")=0,"",MINIFS('Activity Log'!$I$6:$I$1005,'Activity Log'!$C$6:$C$1005,$A430,'Activity Log'!$J$6:$J$1005,"No",'Activity Log'!$I$6:$I$1005,"&gt;0")))</x:f>
      </x:c>
      <x:c r="R430" s="57" t="str">
        <x:f>IF($C430="","",IF(OR($K430="Won",$K430="Lost",$K430="Disqualified"),"Closed",IF($Q430="","No date",IF(INT($Q430)&lt;TODAY(),"Overdue",IF(INT($Q430)=TODAY(),"Today",IF(INT($Q430)&lt;=TODAY()+7,"Next 7 days","Later"))))))</x:f>
      </x:c>
      <x:c r="S430" s="57" t="str">
        <x:f>IF(OR($C430="",$P430=""),"",TODAY()-INT($P430))</x:f>
      </x:c>
      <x:c r="T430" s="54"/>
      <x:c r="U430" s="54"/>
      <x:c r="V430" s="63"/>
      <x:c r="W430" s="74"/>
      <x:c r="X430" s="77" t="str">
        <x:f>IF($C430="","",IFERROR(VLOOKUP($M430,'Lists &amp; Rules'!$L$5:$N$13,2,FALSE),0))</x:f>
      </x:c>
      <x:c r="Y430" s="80" t="str">
        <x:f>IF(OR($C430="",$W430=""),"",ROUND($W430*$X430,0))</x:f>
      </x:c>
      <x:c r="Z430" s="57" t="str">
        <x:f>IF($A430="","",COUNTIF('Activity Log'!$C$6:$C$1005,$A430))</x:f>
      </x:c>
      <x:c r="AA430" s="68"/>
      <x:c r="AB430" s="63"/>
    </x:row>
    <x:row r="431">
      <x:c r="A431" s="54"/>
      <x:c r="B431" s="68"/>
      <x:c r="C431" s="54"/>
      <x:c r="D431" s="54"/>
      <x:c r="E431" s="54"/>
      <x:c r="F431" s="54"/>
      <x:c r="G431" s="54"/>
      <x:c r="H431" s="54"/>
      <x:c r="I431" s="54"/>
      <x:c r="J431" s="54"/>
      <x:c r="K431" s="54"/>
      <x:c r="L431" s="54"/>
      <x:c r="M431" s="54"/>
      <x:c r="N431" s="54"/>
      <x:c r="O431" s="57" t="str">
        <x:f>IF($C431="","",MAX(0,MIN(100,IFERROR(VLOOKUP($L431,'Lists &amp; Rules'!$P$5:$Q$8,2,FALSE),0)+IFERROR(VLOOKUP($N431,'Lists &amp; Rules'!$S$5:$T$7,2,FALSE),0)+IFERROR(VLOOKUP($M431,'Lists &amp; Rules'!$L$5:$N$13,3,FALSE),0)+IF($R431="Overdue",-10,IF($R431="Today",5,0))+MIN(15,$Z431*3))))</x:f>
      </x:c>
      <x:c r="P431" s="71" t="str">
        <x:f>IF($A431="","",IF(COUNTIF('Activity Log'!$C$6:$C$1005,$A431)=0,"",MAXIFS('Activity Log'!$B$6:$B$1005,'Activity Log'!$C$6:$C$1005,$A431)))</x:f>
      </x:c>
      <x:c r="Q431" s="71" t="str">
        <x:f>IF($A431="","",IF(COUNTIFS('Activity Log'!$C$6:$C$1005,$A431,'Activity Log'!$J$6:$J$1005,"No",'Activity Log'!$I$6:$I$1005,"&gt;0")=0,"",MINIFS('Activity Log'!$I$6:$I$1005,'Activity Log'!$C$6:$C$1005,$A431,'Activity Log'!$J$6:$J$1005,"No",'Activity Log'!$I$6:$I$1005,"&gt;0")))</x:f>
      </x:c>
      <x:c r="R431" s="57" t="str">
        <x:f>IF($C431="","",IF(OR($K431="Won",$K431="Lost",$K431="Disqualified"),"Closed",IF($Q431="","No date",IF(INT($Q431)&lt;TODAY(),"Overdue",IF(INT($Q431)=TODAY(),"Today",IF(INT($Q431)&lt;=TODAY()+7,"Next 7 days","Later"))))))</x:f>
      </x:c>
      <x:c r="S431" s="57" t="str">
        <x:f>IF(OR($C431="",$P431=""),"",TODAY()-INT($P431))</x:f>
      </x:c>
      <x:c r="T431" s="54"/>
      <x:c r="U431" s="54"/>
      <x:c r="V431" s="63"/>
      <x:c r="W431" s="74"/>
      <x:c r="X431" s="77" t="str">
        <x:f>IF($C431="","",IFERROR(VLOOKUP($M431,'Lists &amp; Rules'!$L$5:$N$13,2,FALSE),0))</x:f>
      </x:c>
      <x:c r="Y431" s="80" t="str">
        <x:f>IF(OR($C431="",$W431=""),"",ROUND($W431*$X431,0))</x:f>
      </x:c>
      <x:c r="Z431" s="57" t="str">
        <x:f>IF($A431="","",COUNTIF('Activity Log'!$C$6:$C$1005,$A431))</x:f>
      </x:c>
      <x:c r="AA431" s="68"/>
      <x:c r="AB431" s="63"/>
    </x:row>
    <x:row r="432">
      <x:c r="A432" s="54"/>
      <x:c r="B432" s="68"/>
      <x:c r="C432" s="54"/>
      <x:c r="D432" s="54"/>
      <x:c r="E432" s="54"/>
      <x:c r="F432" s="54"/>
      <x:c r="G432" s="54"/>
      <x:c r="H432" s="54"/>
      <x:c r="I432" s="54"/>
      <x:c r="J432" s="54"/>
      <x:c r="K432" s="54"/>
      <x:c r="L432" s="54"/>
      <x:c r="M432" s="54"/>
      <x:c r="N432" s="54"/>
      <x:c r="O432" s="57" t="str">
        <x:f>IF($C432="","",MAX(0,MIN(100,IFERROR(VLOOKUP($L432,'Lists &amp; Rules'!$P$5:$Q$8,2,FALSE),0)+IFERROR(VLOOKUP($N432,'Lists &amp; Rules'!$S$5:$T$7,2,FALSE),0)+IFERROR(VLOOKUP($M432,'Lists &amp; Rules'!$L$5:$N$13,3,FALSE),0)+IF($R432="Overdue",-10,IF($R432="Today",5,0))+MIN(15,$Z432*3))))</x:f>
      </x:c>
      <x:c r="P432" s="71" t="str">
        <x:f>IF($A432="","",IF(COUNTIF('Activity Log'!$C$6:$C$1005,$A432)=0,"",MAXIFS('Activity Log'!$B$6:$B$1005,'Activity Log'!$C$6:$C$1005,$A432)))</x:f>
      </x:c>
      <x:c r="Q432" s="71" t="str">
        <x:f>IF($A432="","",IF(COUNTIFS('Activity Log'!$C$6:$C$1005,$A432,'Activity Log'!$J$6:$J$1005,"No",'Activity Log'!$I$6:$I$1005,"&gt;0")=0,"",MINIFS('Activity Log'!$I$6:$I$1005,'Activity Log'!$C$6:$C$1005,$A432,'Activity Log'!$J$6:$J$1005,"No",'Activity Log'!$I$6:$I$1005,"&gt;0")))</x:f>
      </x:c>
      <x:c r="R432" s="57" t="str">
        <x:f>IF($C432="","",IF(OR($K432="Won",$K432="Lost",$K432="Disqualified"),"Closed",IF($Q432="","No date",IF(INT($Q432)&lt;TODAY(),"Overdue",IF(INT($Q432)=TODAY(),"Today",IF(INT($Q432)&lt;=TODAY()+7,"Next 7 days","Later"))))))</x:f>
      </x:c>
      <x:c r="S432" s="57" t="str">
        <x:f>IF(OR($C432="",$P432=""),"",TODAY()-INT($P432))</x:f>
      </x:c>
      <x:c r="T432" s="54"/>
      <x:c r="U432" s="54"/>
      <x:c r="V432" s="63"/>
      <x:c r="W432" s="74"/>
      <x:c r="X432" s="77" t="str">
        <x:f>IF($C432="","",IFERROR(VLOOKUP($M432,'Lists &amp; Rules'!$L$5:$N$13,2,FALSE),0))</x:f>
      </x:c>
      <x:c r="Y432" s="80" t="str">
        <x:f>IF(OR($C432="",$W432=""),"",ROUND($W432*$X432,0))</x:f>
      </x:c>
      <x:c r="Z432" s="57" t="str">
        <x:f>IF($A432="","",COUNTIF('Activity Log'!$C$6:$C$1005,$A432))</x:f>
      </x:c>
      <x:c r="AA432" s="68"/>
      <x:c r="AB432" s="63"/>
    </x:row>
    <x:row r="433">
      <x:c r="A433" s="54"/>
      <x:c r="B433" s="68"/>
      <x:c r="C433" s="54"/>
      <x:c r="D433" s="54"/>
      <x:c r="E433" s="54"/>
      <x:c r="F433" s="54"/>
      <x:c r="G433" s="54"/>
      <x:c r="H433" s="54"/>
      <x:c r="I433" s="54"/>
      <x:c r="J433" s="54"/>
      <x:c r="K433" s="54"/>
      <x:c r="L433" s="54"/>
      <x:c r="M433" s="54"/>
      <x:c r="N433" s="54"/>
      <x:c r="O433" s="57" t="str">
        <x:f>IF($C433="","",MAX(0,MIN(100,IFERROR(VLOOKUP($L433,'Lists &amp; Rules'!$P$5:$Q$8,2,FALSE),0)+IFERROR(VLOOKUP($N433,'Lists &amp; Rules'!$S$5:$T$7,2,FALSE),0)+IFERROR(VLOOKUP($M433,'Lists &amp; Rules'!$L$5:$N$13,3,FALSE),0)+IF($R433="Overdue",-10,IF($R433="Today",5,0))+MIN(15,$Z433*3))))</x:f>
      </x:c>
      <x:c r="P433" s="71" t="str">
        <x:f>IF($A433="","",IF(COUNTIF('Activity Log'!$C$6:$C$1005,$A433)=0,"",MAXIFS('Activity Log'!$B$6:$B$1005,'Activity Log'!$C$6:$C$1005,$A433)))</x:f>
      </x:c>
      <x:c r="Q433" s="71" t="str">
        <x:f>IF($A433="","",IF(COUNTIFS('Activity Log'!$C$6:$C$1005,$A433,'Activity Log'!$J$6:$J$1005,"No",'Activity Log'!$I$6:$I$1005,"&gt;0")=0,"",MINIFS('Activity Log'!$I$6:$I$1005,'Activity Log'!$C$6:$C$1005,$A433,'Activity Log'!$J$6:$J$1005,"No",'Activity Log'!$I$6:$I$1005,"&gt;0")))</x:f>
      </x:c>
      <x:c r="R433" s="57" t="str">
        <x:f>IF($C433="","",IF(OR($K433="Won",$K433="Lost",$K433="Disqualified"),"Closed",IF($Q433="","No date",IF(INT($Q433)&lt;TODAY(),"Overdue",IF(INT($Q433)=TODAY(),"Today",IF(INT($Q433)&lt;=TODAY()+7,"Next 7 days","Later"))))))</x:f>
      </x:c>
      <x:c r="S433" s="57" t="str">
        <x:f>IF(OR($C433="",$P433=""),"",TODAY()-INT($P433))</x:f>
      </x:c>
      <x:c r="T433" s="54"/>
      <x:c r="U433" s="54"/>
      <x:c r="V433" s="63"/>
      <x:c r="W433" s="74"/>
      <x:c r="X433" s="77" t="str">
        <x:f>IF($C433="","",IFERROR(VLOOKUP($M433,'Lists &amp; Rules'!$L$5:$N$13,2,FALSE),0))</x:f>
      </x:c>
      <x:c r="Y433" s="80" t="str">
        <x:f>IF(OR($C433="",$W433=""),"",ROUND($W433*$X433,0))</x:f>
      </x:c>
      <x:c r="Z433" s="57" t="str">
        <x:f>IF($A433="","",COUNTIF('Activity Log'!$C$6:$C$1005,$A433))</x:f>
      </x:c>
      <x:c r="AA433" s="68"/>
      <x:c r="AB433" s="63"/>
    </x:row>
    <x:row r="434">
      <x:c r="A434" s="54"/>
      <x:c r="B434" s="68"/>
      <x:c r="C434" s="54"/>
      <x:c r="D434" s="54"/>
      <x:c r="E434" s="54"/>
      <x:c r="F434" s="54"/>
      <x:c r="G434" s="54"/>
      <x:c r="H434" s="54"/>
      <x:c r="I434" s="54"/>
      <x:c r="J434" s="54"/>
      <x:c r="K434" s="54"/>
      <x:c r="L434" s="54"/>
      <x:c r="M434" s="54"/>
      <x:c r="N434" s="54"/>
      <x:c r="O434" s="57" t="str">
        <x:f>IF($C434="","",MAX(0,MIN(100,IFERROR(VLOOKUP($L434,'Lists &amp; Rules'!$P$5:$Q$8,2,FALSE),0)+IFERROR(VLOOKUP($N434,'Lists &amp; Rules'!$S$5:$T$7,2,FALSE),0)+IFERROR(VLOOKUP($M434,'Lists &amp; Rules'!$L$5:$N$13,3,FALSE),0)+IF($R434="Overdue",-10,IF($R434="Today",5,0))+MIN(15,$Z434*3))))</x:f>
      </x:c>
      <x:c r="P434" s="71" t="str">
        <x:f>IF($A434="","",IF(COUNTIF('Activity Log'!$C$6:$C$1005,$A434)=0,"",MAXIFS('Activity Log'!$B$6:$B$1005,'Activity Log'!$C$6:$C$1005,$A434)))</x:f>
      </x:c>
      <x:c r="Q434" s="71" t="str">
        <x:f>IF($A434="","",IF(COUNTIFS('Activity Log'!$C$6:$C$1005,$A434,'Activity Log'!$J$6:$J$1005,"No",'Activity Log'!$I$6:$I$1005,"&gt;0")=0,"",MINIFS('Activity Log'!$I$6:$I$1005,'Activity Log'!$C$6:$C$1005,$A434,'Activity Log'!$J$6:$J$1005,"No",'Activity Log'!$I$6:$I$1005,"&gt;0")))</x:f>
      </x:c>
      <x:c r="R434" s="57" t="str">
        <x:f>IF($C434="","",IF(OR($K434="Won",$K434="Lost",$K434="Disqualified"),"Closed",IF($Q434="","No date",IF(INT($Q434)&lt;TODAY(),"Overdue",IF(INT($Q434)=TODAY(),"Today",IF(INT($Q434)&lt;=TODAY()+7,"Next 7 days","Later"))))))</x:f>
      </x:c>
      <x:c r="S434" s="57" t="str">
        <x:f>IF(OR($C434="",$P434=""),"",TODAY()-INT($P434))</x:f>
      </x:c>
      <x:c r="T434" s="54"/>
      <x:c r="U434" s="54"/>
      <x:c r="V434" s="63"/>
      <x:c r="W434" s="74"/>
      <x:c r="X434" s="77" t="str">
        <x:f>IF($C434="","",IFERROR(VLOOKUP($M434,'Lists &amp; Rules'!$L$5:$N$13,2,FALSE),0))</x:f>
      </x:c>
      <x:c r="Y434" s="80" t="str">
        <x:f>IF(OR($C434="",$W434=""),"",ROUND($W434*$X434,0))</x:f>
      </x:c>
      <x:c r="Z434" s="57" t="str">
        <x:f>IF($A434="","",COUNTIF('Activity Log'!$C$6:$C$1005,$A434))</x:f>
      </x:c>
      <x:c r="AA434" s="68"/>
      <x:c r="AB434" s="63"/>
    </x:row>
    <x:row r="435">
      <x:c r="A435" s="54"/>
      <x:c r="B435" s="68"/>
      <x:c r="C435" s="54"/>
      <x:c r="D435" s="54"/>
      <x:c r="E435" s="54"/>
      <x:c r="F435" s="54"/>
      <x:c r="G435" s="54"/>
      <x:c r="H435" s="54"/>
      <x:c r="I435" s="54"/>
      <x:c r="J435" s="54"/>
      <x:c r="K435" s="54"/>
      <x:c r="L435" s="54"/>
      <x:c r="M435" s="54"/>
      <x:c r="N435" s="54"/>
      <x:c r="O435" s="57" t="str">
        <x:f>IF($C435="","",MAX(0,MIN(100,IFERROR(VLOOKUP($L435,'Lists &amp; Rules'!$P$5:$Q$8,2,FALSE),0)+IFERROR(VLOOKUP($N435,'Lists &amp; Rules'!$S$5:$T$7,2,FALSE),0)+IFERROR(VLOOKUP($M435,'Lists &amp; Rules'!$L$5:$N$13,3,FALSE),0)+IF($R435="Overdue",-10,IF($R435="Today",5,0))+MIN(15,$Z435*3))))</x:f>
      </x:c>
      <x:c r="P435" s="71" t="str">
        <x:f>IF($A435="","",IF(COUNTIF('Activity Log'!$C$6:$C$1005,$A435)=0,"",MAXIFS('Activity Log'!$B$6:$B$1005,'Activity Log'!$C$6:$C$1005,$A435)))</x:f>
      </x:c>
      <x:c r="Q435" s="71" t="str">
        <x:f>IF($A435="","",IF(COUNTIFS('Activity Log'!$C$6:$C$1005,$A435,'Activity Log'!$J$6:$J$1005,"No",'Activity Log'!$I$6:$I$1005,"&gt;0")=0,"",MINIFS('Activity Log'!$I$6:$I$1005,'Activity Log'!$C$6:$C$1005,$A435,'Activity Log'!$J$6:$J$1005,"No",'Activity Log'!$I$6:$I$1005,"&gt;0")))</x:f>
      </x:c>
      <x:c r="R435" s="57" t="str">
        <x:f>IF($C435="","",IF(OR($K435="Won",$K435="Lost",$K435="Disqualified"),"Closed",IF($Q435="","No date",IF(INT($Q435)&lt;TODAY(),"Overdue",IF(INT($Q435)=TODAY(),"Today",IF(INT($Q435)&lt;=TODAY()+7,"Next 7 days","Later"))))))</x:f>
      </x:c>
      <x:c r="S435" s="57" t="str">
        <x:f>IF(OR($C435="",$P435=""),"",TODAY()-INT($P435))</x:f>
      </x:c>
      <x:c r="T435" s="54"/>
      <x:c r="U435" s="54"/>
      <x:c r="V435" s="63"/>
      <x:c r="W435" s="74"/>
      <x:c r="X435" s="77" t="str">
        <x:f>IF($C435="","",IFERROR(VLOOKUP($M435,'Lists &amp; Rules'!$L$5:$N$13,2,FALSE),0))</x:f>
      </x:c>
      <x:c r="Y435" s="80" t="str">
        <x:f>IF(OR($C435="",$W435=""),"",ROUND($W435*$X435,0))</x:f>
      </x:c>
      <x:c r="Z435" s="57" t="str">
        <x:f>IF($A435="","",COUNTIF('Activity Log'!$C$6:$C$1005,$A435))</x:f>
      </x:c>
      <x:c r="AA435" s="68"/>
      <x:c r="AB435" s="63"/>
    </x:row>
    <x:row r="436">
      <x:c r="A436" s="54"/>
      <x:c r="B436" s="68"/>
      <x:c r="C436" s="54"/>
      <x:c r="D436" s="54"/>
      <x:c r="E436" s="54"/>
      <x:c r="F436" s="54"/>
      <x:c r="G436" s="54"/>
      <x:c r="H436" s="54"/>
      <x:c r="I436" s="54"/>
      <x:c r="J436" s="54"/>
      <x:c r="K436" s="54"/>
      <x:c r="L436" s="54"/>
      <x:c r="M436" s="54"/>
      <x:c r="N436" s="54"/>
      <x:c r="O436" s="57" t="str">
        <x:f>IF($C436="","",MAX(0,MIN(100,IFERROR(VLOOKUP($L436,'Lists &amp; Rules'!$P$5:$Q$8,2,FALSE),0)+IFERROR(VLOOKUP($N436,'Lists &amp; Rules'!$S$5:$T$7,2,FALSE),0)+IFERROR(VLOOKUP($M436,'Lists &amp; Rules'!$L$5:$N$13,3,FALSE),0)+IF($R436="Overdue",-10,IF($R436="Today",5,0))+MIN(15,$Z436*3))))</x:f>
      </x:c>
      <x:c r="P436" s="71" t="str">
        <x:f>IF($A436="","",IF(COUNTIF('Activity Log'!$C$6:$C$1005,$A436)=0,"",MAXIFS('Activity Log'!$B$6:$B$1005,'Activity Log'!$C$6:$C$1005,$A436)))</x:f>
      </x:c>
      <x:c r="Q436" s="71" t="str">
        <x:f>IF($A436="","",IF(COUNTIFS('Activity Log'!$C$6:$C$1005,$A436,'Activity Log'!$J$6:$J$1005,"No",'Activity Log'!$I$6:$I$1005,"&gt;0")=0,"",MINIFS('Activity Log'!$I$6:$I$1005,'Activity Log'!$C$6:$C$1005,$A436,'Activity Log'!$J$6:$J$1005,"No",'Activity Log'!$I$6:$I$1005,"&gt;0")))</x:f>
      </x:c>
      <x:c r="R436" s="57" t="str">
        <x:f>IF($C436="","",IF(OR($K436="Won",$K436="Lost",$K436="Disqualified"),"Closed",IF($Q436="","No date",IF(INT($Q436)&lt;TODAY(),"Overdue",IF(INT($Q436)=TODAY(),"Today",IF(INT($Q436)&lt;=TODAY()+7,"Next 7 days","Later"))))))</x:f>
      </x:c>
      <x:c r="S436" s="57" t="str">
        <x:f>IF(OR($C436="",$P436=""),"",TODAY()-INT($P436))</x:f>
      </x:c>
      <x:c r="T436" s="54"/>
      <x:c r="U436" s="54"/>
      <x:c r="V436" s="63"/>
      <x:c r="W436" s="74"/>
      <x:c r="X436" s="77" t="str">
        <x:f>IF($C436="","",IFERROR(VLOOKUP($M436,'Lists &amp; Rules'!$L$5:$N$13,2,FALSE),0))</x:f>
      </x:c>
      <x:c r="Y436" s="80" t="str">
        <x:f>IF(OR($C436="",$W436=""),"",ROUND($W436*$X436,0))</x:f>
      </x:c>
      <x:c r="Z436" s="57" t="str">
        <x:f>IF($A436="","",COUNTIF('Activity Log'!$C$6:$C$1005,$A436))</x:f>
      </x:c>
      <x:c r="AA436" s="68"/>
      <x:c r="AB436" s="63"/>
    </x:row>
    <x:row r="437">
      <x:c r="A437" s="54"/>
      <x:c r="B437" s="68"/>
      <x:c r="C437" s="54"/>
      <x:c r="D437" s="54"/>
      <x:c r="E437" s="54"/>
      <x:c r="F437" s="54"/>
      <x:c r="G437" s="54"/>
      <x:c r="H437" s="54"/>
      <x:c r="I437" s="54"/>
      <x:c r="J437" s="54"/>
      <x:c r="K437" s="54"/>
      <x:c r="L437" s="54"/>
      <x:c r="M437" s="54"/>
      <x:c r="N437" s="54"/>
      <x:c r="O437" s="57" t="str">
        <x:f>IF($C437="","",MAX(0,MIN(100,IFERROR(VLOOKUP($L437,'Lists &amp; Rules'!$P$5:$Q$8,2,FALSE),0)+IFERROR(VLOOKUP($N437,'Lists &amp; Rules'!$S$5:$T$7,2,FALSE),0)+IFERROR(VLOOKUP($M437,'Lists &amp; Rules'!$L$5:$N$13,3,FALSE),0)+IF($R437="Overdue",-10,IF($R437="Today",5,0))+MIN(15,$Z437*3))))</x:f>
      </x:c>
      <x:c r="P437" s="71" t="str">
        <x:f>IF($A437="","",IF(COUNTIF('Activity Log'!$C$6:$C$1005,$A437)=0,"",MAXIFS('Activity Log'!$B$6:$B$1005,'Activity Log'!$C$6:$C$1005,$A437)))</x:f>
      </x:c>
      <x:c r="Q437" s="71" t="str">
        <x:f>IF($A437="","",IF(COUNTIFS('Activity Log'!$C$6:$C$1005,$A437,'Activity Log'!$J$6:$J$1005,"No",'Activity Log'!$I$6:$I$1005,"&gt;0")=0,"",MINIFS('Activity Log'!$I$6:$I$1005,'Activity Log'!$C$6:$C$1005,$A437,'Activity Log'!$J$6:$J$1005,"No",'Activity Log'!$I$6:$I$1005,"&gt;0")))</x:f>
      </x:c>
      <x:c r="R437" s="57" t="str">
        <x:f>IF($C437="","",IF(OR($K437="Won",$K437="Lost",$K437="Disqualified"),"Closed",IF($Q437="","No date",IF(INT($Q437)&lt;TODAY(),"Overdue",IF(INT($Q437)=TODAY(),"Today",IF(INT($Q437)&lt;=TODAY()+7,"Next 7 days","Later"))))))</x:f>
      </x:c>
      <x:c r="S437" s="57" t="str">
        <x:f>IF(OR($C437="",$P437=""),"",TODAY()-INT($P437))</x:f>
      </x:c>
      <x:c r="T437" s="54"/>
      <x:c r="U437" s="54"/>
      <x:c r="V437" s="63"/>
      <x:c r="W437" s="74"/>
      <x:c r="X437" s="77" t="str">
        <x:f>IF($C437="","",IFERROR(VLOOKUP($M437,'Lists &amp; Rules'!$L$5:$N$13,2,FALSE),0))</x:f>
      </x:c>
      <x:c r="Y437" s="80" t="str">
        <x:f>IF(OR($C437="",$W437=""),"",ROUND($W437*$X437,0))</x:f>
      </x:c>
      <x:c r="Z437" s="57" t="str">
        <x:f>IF($A437="","",COUNTIF('Activity Log'!$C$6:$C$1005,$A437))</x:f>
      </x:c>
      <x:c r="AA437" s="68"/>
      <x:c r="AB437" s="63"/>
    </x:row>
    <x:row r="438">
      <x:c r="A438" s="54"/>
      <x:c r="B438" s="68"/>
      <x:c r="C438" s="54"/>
      <x:c r="D438" s="54"/>
      <x:c r="E438" s="54"/>
      <x:c r="F438" s="54"/>
      <x:c r="G438" s="54"/>
      <x:c r="H438" s="54"/>
      <x:c r="I438" s="54"/>
      <x:c r="J438" s="54"/>
      <x:c r="K438" s="54"/>
      <x:c r="L438" s="54"/>
      <x:c r="M438" s="54"/>
      <x:c r="N438" s="54"/>
      <x:c r="O438" s="57" t="str">
        <x:f>IF($C438="","",MAX(0,MIN(100,IFERROR(VLOOKUP($L438,'Lists &amp; Rules'!$P$5:$Q$8,2,FALSE),0)+IFERROR(VLOOKUP($N438,'Lists &amp; Rules'!$S$5:$T$7,2,FALSE),0)+IFERROR(VLOOKUP($M438,'Lists &amp; Rules'!$L$5:$N$13,3,FALSE),0)+IF($R438="Overdue",-10,IF($R438="Today",5,0))+MIN(15,$Z438*3))))</x:f>
      </x:c>
      <x:c r="P438" s="71" t="str">
        <x:f>IF($A438="","",IF(COUNTIF('Activity Log'!$C$6:$C$1005,$A438)=0,"",MAXIFS('Activity Log'!$B$6:$B$1005,'Activity Log'!$C$6:$C$1005,$A438)))</x:f>
      </x:c>
      <x:c r="Q438" s="71" t="str">
        <x:f>IF($A438="","",IF(COUNTIFS('Activity Log'!$C$6:$C$1005,$A438,'Activity Log'!$J$6:$J$1005,"No",'Activity Log'!$I$6:$I$1005,"&gt;0")=0,"",MINIFS('Activity Log'!$I$6:$I$1005,'Activity Log'!$C$6:$C$1005,$A438,'Activity Log'!$J$6:$J$1005,"No",'Activity Log'!$I$6:$I$1005,"&gt;0")))</x:f>
      </x:c>
      <x:c r="R438" s="57" t="str">
        <x:f>IF($C438="","",IF(OR($K438="Won",$K438="Lost",$K438="Disqualified"),"Closed",IF($Q438="","No date",IF(INT($Q438)&lt;TODAY(),"Overdue",IF(INT($Q438)=TODAY(),"Today",IF(INT($Q438)&lt;=TODAY()+7,"Next 7 days","Later"))))))</x:f>
      </x:c>
      <x:c r="S438" s="57" t="str">
        <x:f>IF(OR($C438="",$P438=""),"",TODAY()-INT($P438))</x:f>
      </x:c>
      <x:c r="T438" s="54"/>
      <x:c r="U438" s="54"/>
      <x:c r="V438" s="63"/>
      <x:c r="W438" s="74"/>
      <x:c r="X438" s="77" t="str">
        <x:f>IF($C438="","",IFERROR(VLOOKUP($M438,'Lists &amp; Rules'!$L$5:$N$13,2,FALSE),0))</x:f>
      </x:c>
      <x:c r="Y438" s="80" t="str">
        <x:f>IF(OR($C438="",$W438=""),"",ROUND($W438*$X438,0))</x:f>
      </x:c>
      <x:c r="Z438" s="57" t="str">
        <x:f>IF($A438="","",COUNTIF('Activity Log'!$C$6:$C$1005,$A438))</x:f>
      </x:c>
      <x:c r="AA438" s="68"/>
      <x:c r="AB438" s="63"/>
    </x:row>
    <x:row r="439">
      <x:c r="A439" s="54"/>
      <x:c r="B439" s="68"/>
      <x:c r="C439" s="54"/>
      <x:c r="D439" s="54"/>
      <x:c r="E439" s="54"/>
      <x:c r="F439" s="54"/>
      <x:c r="G439" s="54"/>
      <x:c r="H439" s="54"/>
      <x:c r="I439" s="54"/>
      <x:c r="J439" s="54"/>
      <x:c r="K439" s="54"/>
      <x:c r="L439" s="54"/>
      <x:c r="M439" s="54"/>
      <x:c r="N439" s="54"/>
      <x:c r="O439" s="57" t="str">
        <x:f>IF($C439="","",MAX(0,MIN(100,IFERROR(VLOOKUP($L439,'Lists &amp; Rules'!$P$5:$Q$8,2,FALSE),0)+IFERROR(VLOOKUP($N439,'Lists &amp; Rules'!$S$5:$T$7,2,FALSE),0)+IFERROR(VLOOKUP($M439,'Lists &amp; Rules'!$L$5:$N$13,3,FALSE),0)+IF($R439="Overdue",-10,IF($R439="Today",5,0))+MIN(15,$Z439*3))))</x:f>
      </x:c>
      <x:c r="P439" s="71" t="str">
        <x:f>IF($A439="","",IF(COUNTIF('Activity Log'!$C$6:$C$1005,$A439)=0,"",MAXIFS('Activity Log'!$B$6:$B$1005,'Activity Log'!$C$6:$C$1005,$A439)))</x:f>
      </x:c>
      <x:c r="Q439" s="71" t="str">
        <x:f>IF($A439="","",IF(COUNTIFS('Activity Log'!$C$6:$C$1005,$A439,'Activity Log'!$J$6:$J$1005,"No",'Activity Log'!$I$6:$I$1005,"&gt;0")=0,"",MINIFS('Activity Log'!$I$6:$I$1005,'Activity Log'!$C$6:$C$1005,$A439,'Activity Log'!$J$6:$J$1005,"No",'Activity Log'!$I$6:$I$1005,"&gt;0")))</x:f>
      </x:c>
      <x:c r="R439" s="57" t="str">
        <x:f>IF($C439="","",IF(OR($K439="Won",$K439="Lost",$K439="Disqualified"),"Closed",IF($Q439="","No date",IF(INT($Q439)&lt;TODAY(),"Overdue",IF(INT($Q439)=TODAY(),"Today",IF(INT($Q439)&lt;=TODAY()+7,"Next 7 days","Later"))))))</x:f>
      </x:c>
      <x:c r="S439" s="57" t="str">
        <x:f>IF(OR($C439="",$P439=""),"",TODAY()-INT($P439))</x:f>
      </x:c>
      <x:c r="T439" s="54"/>
      <x:c r="U439" s="54"/>
      <x:c r="V439" s="63"/>
      <x:c r="W439" s="74"/>
      <x:c r="X439" s="77" t="str">
        <x:f>IF($C439="","",IFERROR(VLOOKUP($M439,'Lists &amp; Rules'!$L$5:$N$13,2,FALSE),0))</x:f>
      </x:c>
      <x:c r="Y439" s="80" t="str">
        <x:f>IF(OR($C439="",$W439=""),"",ROUND($W439*$X439,0))</x:f>
      </x:c>
      <x:c r="Z439" s="57" t="str">
        <x:f>IF($A439="","",COUNTIF('Activity Log'!$C$6:$C$1005,$A439))</x:f>
      </x:c>
      <x:c r="AA439" s="68"/>
      <x:c r="AB439" s="63"/>
    </x:row>
    <x:row r="440">
      <x:c r="A440" s="54"/>
      <x:c r="B440" s="68"/>
      <x:c r="C440" s="54"/>
      <x:c r="D440" s="54"/>
      <x:c r="E440" s="54"/>
      <x:c r="F440" s="54"/>
      <x:c r="G440" s="54"/>
      <x:c r="H440" s="54"/>
      <x:c r="I440" s="54"/>
      <x:c r="J440" s="54"/>
      <x:c r="K440" s="54"/>
      <x:c r="L440" s="54"/>
      <x:c r="M440" s="54"/>
      <x:c r="N440" s="54"/>
      <x:c r="O440" s="57" t="str">
        <x:f>IF($C440="","",MAX(0,MIN(100,IFERROR(VLOOKUP($L440,'Lists &amp; Rules'!$P$5:$Q$8,2,FALSE),0)+IFERROR(VLOOKUP($N440,'Lists &amp; Rules'!$S$5:$T$7,2,FALSE),0)+IFERROR(VLOOKUP($M440,'Lists &amp; Rules'!$L$5:$N$13,3,FALSE),0)+IF($R440="Overdue",-10,IF($R440="Today",5,0))+MIN(15,$Z440*3))))</x:f>
      </x:c>
      <x:c r="P440" s="71" t="str">
        <x:f>IF($A440="","",IF(COUNTIF('Activity Log'!$C$6:$C$1005,$A440)=0,"",MAXIFS('Activity Log'!$B$6:$B$1005,'Activity Log'!$C$6:$C$1005,$A440)))</x:f>
      </x:c>
      <x:c r="Q440" s="71" t="str">
        <x:f>IF($A440="","",IF(COUNTIFS('Activity Log'!$C$6:$C$1005,$A440,'Activity Log'!$J$6:$J$1005,"No",'Activity Log'!$I$6:$I$1005,"&gt;0")=0,"",MINIFS('Activity Log'!$I$6:$I$1005,'Activity Log'!$C$6:$C$1005,$A440,'Activity Log'!$J$6:$J$1005,"No",'Activity Log'!$I$6:$I$1005,"&gt;0")))</x:f>
      </x:c>
      <x:c r="R440" s="57" t="str">
        <x:f>IF($C440="","",IF(OR($K440="Won",$K440="Lost",$K440="Disqualified"),"Closed",IF($Q440="","No date",IF(INT($Q440)&lt;TODAY(),"Overdue",IF(INT($Q440)=TODAY(),"Today",IF(INT($Q440)&lt;=TODAY()+7,"Next 7 days","Later"))))))</x:f>
      </x:c>
      <x:c r="S440" s="57" t="str">
        <x:f>IF(OR($C440="",$P440=""),"",TODAY()-INT($P440))</x:f>
      </x:c>
      <x:c r="T440" s="54"/>
      <x:c r="U440" s="54"/>
      <x:c r="V440" s="63"/>
      <x:c r="W440" s="74"/>
      <x:c r="X440" s="77" t="str">
        <x:f>IF($C440="","",IFERROR(VLOOKUP($M440,'Lists &amp; Rules'!$L$5:$N$13,2,FALSE),0))</x:f>
      </x:c>
      <x:c r="Y440" s="80" t="str">
        <x:f>IF(OR($C440="",$W440=""),"",ROUND($W440*$X440,0))</x:f>
      </x:c>
      <x:c r="Z440" s="57" t="str">
        <x:f>IF($A440="","",COUNTIF('Activity Log'!$C$6:$C$1005,$A440))</x:f>
      </x:c>
      <x:c r="AA440" s="68"/>
      <x:c r="AB440" s="63"/>
    </x:row>
    <x:row r="441">
      <x:c r="A441" s="54"/>
      <x:c r="B441" s="68"/>
      <x:c r="C441" s="54"/>
      <x:c r="D441" s="54"/>
      <x:c r="E441" s="54"/>
      <x:c r="F441" s="54"/>
      <x:c r="G441" s="54"/>
      <x:c r="H441" s="54"/>
      <x:c r="I441" s="54"/>
      <x:c r="J441" s="54"/>
      <x:c r="K441" s="54"/>
      <x:c r="L441" s="54"/>
      <x:c r="M441" s="54"/>
      <x:c r="N441" s="54"/>
      <x:c r="O441" s="57" t="str">
        <x:f>IF($C441="","",MAX(0,MIN(100,IFERROR(VLOOKUP($L441,'Lists &amp; Rules'!$P$5:$Q$8,2,FALSE),0)+IFERROR(VLOOKUP($N441,'Lists &amp; Rules'!$S$5:$T$7,2,FALSE),0)+IFERROR(VLOOKUP($M441,'Lists &amp; Rules'!$L$5:$N$13,3,FALSE),0)+IF($R441="Overdue",-10,IF($R441="Today",5,0))+MIN(15,$Z441*3))))</x:f>
      </x:c>
      <x:c r="P441" s="71" t="str">
        <x:f>IF($A441="","",IF(COUNTIF('Activity Log'!$C$6:$C$1005,$A441)=0,"",MAXIFS('Activity Log'!$B$6:$B$1005,'Activity Log'!$C$6:$C$1005,$A441)))</x:f>
      </x:c>
      <x:c r="Q441" s="71" t="str">
        <x:f>IF($A441="","",IF(COUNTIFS('Activity Log'!$C$6:$C$1005,$A441,'Activity Log'!$J$6:$J$1005,"No",'Activity Log'!$I$6:$I$1005,"&gt;0")=0,"",MINIFS('Activity Log'!$I$6:$I$1005,'Activity Log'!$C$6:$C$1005,$A441,'Activity Log'!$J$6:$J$1005,"No",'Activity Log'!$I$6:$I$1005,"&gt;0")))</x:f>
      </x:c>
      <x:c r="R441" s="57" t="str">
        <x:f>IF($C441="","",IF(OR($K441="Won",$K441="Lost",$K441="Disqualified"),"Closed",IF($Q441="","No date",IF(INT($Q441)&lt;TODAY(),"Overdue",IF(INT($Q441)=TODAY(),"Today",IF(INT($Q441)&lt;=TODAY()+7,"Next 7 days","Later"))))))</x:f>
      </x:c>
      <x:c r="S441" s="57" t="str">
        <x:f>IF(OR($C441="",$P441=""),"",TODAY()-INT($P441))</x:f>
      </x:c>
      <x:c r="T441" s="54"/>
      <x:c r="U441" s="54"/>
      <x:c r="V441" s="63"/>
      <x:c r="W441" s="74"/>
      <x:c r="X441" s="77" t="str">
        <x:f>IF($C441="","",IFERROR(VLOOKUP($M441,'Lists &amp; Rules'!$L$5:$N$13,2,FALSE),0))</x:f>
      </x:c>
      <x:c r="Y441" s="80" t="str">
        <x:f>IF(OR($C441="",$W441=""),"",ROUND($W441*$X441,0))</x:f>
      </x:c>
      <x:c r="Z441" s="57" t="str">
        <x:f>IF($A441="","",COUNTIF('Activity Log'!$C$6:$C$1005,$A441))</x:f>
      </x:c>
      <x:c r="AA441" s="68"/>
      <x:c r="AB441" s="63"/>
    </x:row>
    <x:row r="442">
      <x:c r="A442" s="54"/>
      <x:c r="B442" s="68"/>
      <x:c r="C442" s="54"/>
      <x:c r="D442" s="54"/>
      <x:c r="E442" s="54"/>
      <x:c r="F442" s="54"/>
      <x:c r="G442" s="54"/>
      <x:c r="H442" s="54"/>
      <x:c r="I442" s="54"/>
      <x:c r="J442" s="54"/>
      <x:c r="K442" s="54"/>
      <x:c r="L442" s="54"/>
      <x:c r="M442" s="54"/>
      <x:c r="N442" s="54"/>
      <x:c r="O442" s="57" t="str">
        <x:f>IF($C442="","",MAX(0,MIN(100,IFERROR(VLOOKUP($L442,'Lists &amp; Rules'!$P$5:$Q$8,2,FALSE),0)+IFERROR(VLOOKUP($N442,'Lists &amp; Rules'!$S$5:$T$7,2,FALSE),0)+IFERROR(VLOOKUP($M442,'Lists &amp; Rules'!$L$5:$N$13,3,FALSE),0)+IF($R442="Overdue",-10,IF($R442="Today",5,0))+MIN(15,$Z442*3))))</x:f>
      </x:c>
      <x:c r="P442" s="71" t="str">
        <x:f>IF($A442="","",IF(COUNTIF('Activity Log'!$C$6:$C$1005,$A442)=0,"",MAXIFS('Activity Log'!$B$6:$B$1005,'Activity Log'!$C$6:$C$1005,$A442)))</x:f>
      </x:c>
      <x:c r="Q442" s="71" t="str">
        <x:f>IF($A442="","",IF(COUNTIFS('Activity Log'!$C$6:$C$1005,$A442,'Activity Log'!$J$6:$J$1005,"No",'Activity Log'!$I$6:$I$1005,"&gt;0")=0,"",MINIFS('Activity Log'!$I$6:$I$1005,'Activity Log'!$C$6:$C$1005,$A442,'Activity Log'!$J$6:$J$1005,"No",'Activity Log'!$I$6:$I$1005,"&gt;0")))</x:f>
      </x:c>
      <x:c r="R442" s="57" t="str">
        <x:f>IF($C442="","",IF(OR($K442="Won",$K442="Lost",$K442="Disqualified"),"Closed",IF($Q442="","No date",IF(INT($Q442)&lt;TODAY(),"Overdue",IF(INT($Q442)=TODAY(),"Today",IF(INT($Q442)&lt;=TODAY()+7,"Next 7 days","Later"))))))</x:f>
      </x:c>
      <x:c r="S442" s="57" t="str">
        <x:f>IF(OR($C442="",$P442=""),"",TODAY()-INT($P442))</x:f>
      </x:c>
      <x:c r="T442" s="54"/>
      <x:c r="U442" s="54"/>
      <x:c r="V442" s="63"/>
      <x:c r="W442" s="74"/>
      <x:c r="X442" s="77" t="str">
        <x:f>IF($C442="","",IFERROR(VLOOKUP($M442,'Lists &amp; Rules'!$L$5:$N$13,2,FALSE),0))</x:f>
      </x:c>
      <x:c r="Y442" s="80" t="str">
        <x:f>IF(OR($C442="",$W442=""),"",ROUND($W442*$X442,0))</x:f>
      </x:c>
      <x:c r="Z442" s="57" t="str">
        <x:f>IF($A442="","",COUNTIF('Activity Log'!$C$6:$C$1005,$A442))</x:f>
      </x:c>
      <x:c r="AA442" s="68"/>
      <x:c r="AB442" s="63"/>
    </x:row>
    <x:row r="443">
      <x:c r="A443" s="54"/>
      <x:c r="B443" s="68"/>
      <x:c r="C443" s="54"/>
      <x:c r="D443" s="54"/>
      <x:c r="E443" s="54"/>
      <x:c r="F443" s="54"/>
      <x:c r="G443" s="54"/>
      <x:c r="H443" s="54"/>
      <x:c r="I443" s="54"/>
      <x:c r="J443" s="54"/>
      <x:c r="K443" s="54"/>
      <x:c r="L443" s="54"/>
      <x:c r="M443" s="54"/>
      <x:c r="N443" s="54"/>
      <x:c r="O443" s="57" t="str">
        <x:f>IF($C443="","",MAX(0,MIN(100,IFERROR(VLOOKUP($L443,'Lists &amp; Rules'!$P$5:$Q$8,2,FALSE),0)+IFERROR(VLOOKUP($N443,'Lists &amp; Rules'!$S$5:$T$7,2,FALSE),0)+IFERROR(VLOOKUP($M443,'Lists &amp; Rules'!$L$5:$N$13,3,FALSE),0)+IF($R443="Overdue",-10,IF($R443="Today",5,0))+MIN(15,$Z443*3))))</x:f>
      </x:c>
      <x:c r="P443" s="71" t="str">
        <x:f>IF($A443="","",IF(COUNTIF('Activity Log'!$C$6:$C$1005,$A443)=0,"",MAXIFS('Activity Log'!$B$6:$B$1005,'Activity Log'!$C$6:$C$1005,$A443)))</x:f>
      </x:c>
      <x:c r="Q443" s="71" t="str">
        <x:f>IF($A443="","",IF(COUNTIFS('Activity Log'!$C$6:$C$1005,$A443,'Activity Log'!$J$6:$J$1005,"No",'Activity Log'!$I$6:$I$1005,"&gt;0")=0,"",MINIFS('Activity Log'!$I$6:$I$1005,'Activity Log'!$C$6:$C$1005,$A443,'Activity Log'!$J$6:$J$1005,"No",'Activity Log'!$I$6:$I$1005,"&gt;0")))</x:f>
      </x:c>
      <x:c r="R443" s="57" t="str">
        <x:f>IF($C443="","",IF(OR($K443="Won",$K443="Lost",$K443="Disqualified"),"Closed",IF($Q443="","No date",IF(INT($Q443)&lt;TODAY(),"Overdue",IF(INT($Q443)=TODAY(),"Today",IF(INT($Q443)&lt;=TODAY()+7,"Next 7 days","Later"))))))</x:f>
      </x:c>
      <x:c r="S443" s="57" t="str">
        <x:f>IF(OR($C443="",$P443=""),"",TODAY()-INT($P443))</x:f>
      </x:c>
      <x:c r="T443" s="54"/>
      <x:c r="U443" s="54"/>
      <x:c r="V443" s="63"/>
      <x:c r="W443" s="74"/>
      <x:c r="X443" s="77" t="str">
        <x:f>IF($C443="","",IFERROR(VLOOKUP($M443,'Lists &amp; Rules'!$L$5:$N$13,2,FALSE),0))</x:f>
      </x:c>
      <x:c r="Y443" s="80" t="str">
        <x:f>IF(OR($C443="",$W443=""),"",ROUND($W443*$X443,0))</x:f>
      </x:c>
      <x:c r="Z443" s="57" t="str">
        <x:f>IF($A443="","",COUNTIF('Activity Log'!$C$6:$C$1005,$A443))</x:f>
      </x:c>
      <x:c r="AA443" s="68"/>
      <x:c r="AB443" s="63"/>
    </x:row>
    <x:row r="444">
      <x:c r="A444" s="54"/>
      <x:c r="B444" s="68"/>
      <x:c r="C444" s="54"/>
      <x:c r="D444" s="54"/>
      <x:c r="E444" s="54"/>
      <x:c r="F444" s="54"/>
      <x:c r="G444" s="54"/>
      <x:c r="H444" s="54"/>
      <x:c r="I444" s="54"/>
      <x:c r="J444" s="54"/>
      <x:c r="K444" s="54"/>
      <x:c r="L444" s="54"/>
      <x:c r="M444" s="54"/>
      <x:c r="N444" s="54"/>
      <x:c r="O444" s="57" t="str">
        <x:f>IF($C444="","",MAX(0,MIN(100,IFERROR(VLOOKUP($L444,'Lists &amp; Rules'!$P$5:$Q$8,2,FALSE),0)+IFERROR(VLOOKUP($N444,'Lists &amp; Rules'!$S$5:$T$7,2,FALSE),0)+IFERROR(VLOOKUP($M444,'Lists &amp; Rules'!$L$5:$N$13,3,FALSE),0)+IF($R444="Overdue",-10,IF($R444="Today",5,0))+MIN(15,$Z444*3))))</x:f>
      </x:c>
      <x:c r="P444" s="71" t="str">
        <x:f>IF($A444="","",IF(COUNTIF('Activity Log'!$C$6:$C$1005,$A444)=0,"",MAXIFS('Activity Log'!$B$6:$B$1005,'Activity Log'!$C$6:$C$1005,$A444)))</x:f>
      </x:c>
      <x:c r="Q444" s="71" t="str">
        <x:f>IF($A444="","",IF(COUNTIFS('Activity Log'!$C$6:$C$1005,$A444,'Activity Log'!$J$6:$J$1005,"No",'Activity Log'!$I$6:$I$1005,"&gt;0")=0,"",MINIFS('Activity Log'!$I$6:$I$1005,'Activity Log'!$C$6:$C$1005,$A444,'Activity Log'!$J$6:$J$1005,"No",'Activity Log'!$I$6:$I$1005,"&gt;0")))</x:f>
      </x:c>
      <x:c r="R444" s="57" t="str">
        <x:f>IF($C444="","",IF(OR($K444="Won",$K444="Lost",$K444="Disqualified"),"Closed",IF($Q444="","No date",IF(INT($Q444)&lt;TODAY(),"Overdue",IF(INT($Q444)=TODAY(),"Today",IF(INT($Q444)&lt;=TODAY()+7,"Next 7 days","Later"))))))</x:f>
      </x:c>
      <x:c r="S444" s="57" t="str">
        <x:f>IF(OR($C444="",$P444=""),"",TODAY()-INT($P444))</x:f>
      </x:c>
      <x:c r="T444" s="54"/>
      <x:c r="U444" s="54"/>
      <x:c r="V444" s="63"/>
      <x:c r="W444" s="74"/>
      <x:c r="X444" s="77" t="str">
        <x:f>IF($C444="","",IFERROR(VLOOKUP($M444,'Lists &amp; Rules'!$L$5:$N$13,2,FALSE),0))</x:f>
      </x:c>
      <x:c r="Y444" s="80" t="str">
        <x:f>IF(OR($C444="",$W444=""),"",ROUND($W444*$X444,0))</x:f>
      </x:c>
      <x:c r="Z444" s="57" t="str">
        <x:f>IF($A444="","",COUNTIF('Activity Log'!$C$6:$C$1005,$A444))</x:f>
      </x:c>
      <x:c r="AA444" s="68"/>
      <x:c r="AB444" s="63"/>
    </x:row>
    <x:row r="445">
      <x:c r="A445" s="54"/>
      <x:c r="B445" s="68"/>
      <x:c r="C445" s="54"/>
      <x:c r="D445" s="54"/>
      <x:c r="E445" s="54"/>
      <x:c r="F445" s="54"/>
      <x:c r="G445" s="54"/>
      <x:c r="H445" s="54"/>
      <x:c r="I445" s="54"/>
      <x:c r="J445" s="54"/>
      <x:c r="K445" s="54"/>
      <x:c r="L445" s="54"/>
      <x:c r="M445" s="54"/>
      <x:c r="N445" s="54"/>
      <x:c r="O445" s="57" t="str">
        <x:f>IF($C445="","",MAX(0,MIN(100,IFERROR(VLOOKUP($L445,'Lists &amp; Rules'!$P$5:$Q$8,2,FALSE),0)+IFERROR(VLOOKUP($N445,'Lists &amp; Rules'!$S$5:$T$7,2,FALSE),0)+IFERROR(VLOOKUP($M445,'Lists &amp; Rules'!$L$5:$N$13,3,FALSE),0)+IF($R445="Overdue",-10,IF($R445="Today",5,0))+MIN(15,$Z445*3))))</x:f>
      </x:c>
      <x:c r="P445" s="71" t="str">
        <x:f>IF($A445="","",IF(COUNTIF('Activity Log'!$C$6:$C$1005,$A445)=0,"",MAXIFS('Activity Log'!$B$6:$B$1005,'Activity Log'!$C$6:$C$1005,$A445)))</x:f>
      </x:c>
      <x:c r="Q445" s="71" t="str">
        <x:f>IF($A445="","",IF(COUNTIFS('Activity Log'!$C$6:$C$1005,$A445,'Activity Log'!$J$6:$J$1005,"No",'Activity Log'!$I$6:$I$1005,"&gt;0")=0,"",MINIFS('Activity Log'!$I$6:$I$1005,'Activity Log'!$C$6:$C$1005,$A445,'Activity Log'!$J$6:$J$1005,"No",'Activity Log'!$I$6:$I$1005,"&gt;0")))</x:f>
      </x:c>
      <x:c r="R445" s="57" t="str">
        <x:f>IF($C445="","",IF(OR($K445="Won",$K445="Lost",$K445="Disqualified"),"Closed",IF($Q445="","No date",IF(INT($Q445)&lt;TODAY(),"Overdue",IF(INT($Q445)=TODAY(),"Today",IF(INT($Q445)&lt;=TODAY()+7,"Next 7 days","Later"))))))</x:f>
      </x:c>
      <x:c r="S445" s="57" t="str">
        <x:f>IF(OR($C445="",$P445=""),"",TODAY()-INT($P445))</x:f>
      </x:c>
      <x:c r="T445" s="54"/>
      <x:c r="U445" s="54"/>
      <x:c r="V445" s="63"/>
      <x:c r="W445" s="74"/>
      <x:c r="X445" s="77" t="str">
        <x:f>IF($C445="","",IFERROR(VLOOKUP($M445,'Lists &amp; Rules'!$L$5:$N$13,2,FALSE),0))</x:f>
      </x:c>
      <x:c r="Y445" s="80" t="str">
        <x:f>IF(OR($C445="",$W445=""),"",ROUND($W445*$X445,0))</x:f>
      </x:c>
      <x:c r="Z445" s="57" t="str">
        <x:f>IF($A445="","",COUNTIF('Activity Log'!$C$6:$C$1005,$A445))</x:f>
      </x:c>
      <x:c r="AA445" s="68"/>
      <x:c r="AB445" s="63"/>
    </x:row>
    <x:row r="446">
      <x:c r="A446" s="54"/>
      <x:c r="B446" s="68"/>
      <x:c r="C446" s="54"/>
      <x:c r="D446" s="54"/>
      <x:c r="E446" s="54"/>
      <x:c r="F446" s="54"/>
      <x:c r="G446" s="54"/>
      <x:c r="H446" s="54"/>
      <x:c r="I446" s="54"/>
      <x:c r="J446" s="54"/>
      <x:c r="K446" s="54"/>
      <x:c r="L446" s="54"/>
      <x:c r="M446" s="54"/>
      <x:c r="N446" s="54"/>
      <x:c r="O446" s="57" t="str">
        <x:f>IF($C446="","",MAX(0,MIN(100,IFERROR(VLOOKUP($L446,'Lists &amp; Rules'!$P$5:$Q$8,2,FALSE),0)+IFERROR(VLOOKUP($N446,'Lists &amp; Rules'!$S$5:$T$7,2,FALSE),0)+IFERROR(VLOOKUP($M446,'Lists &amp; Rules'!$L$5:$N$13,3,FALSE),0)+IF($R446="Overdue",-10,IF($R446="Today",5,0))+MIN(15,$Z446*3))))</x:f>
      </x:c>
      <x:c r="P446" s="71" t="str">
        <x:f>IF($A446="","",IF(COUNTIF('Activity Log'!$C$6:$C$1005,$A446)=0,"",MAXIFS('Activity Log'!$B$6:$B$1005,'Activity Log'!$C$6:$C$1005,$A446)))</x:f>
      </x:c>
      <x:c r="Q446" s="71" t="str">
        <x:f>IF($A446="","",IF(COUNTIFS('Activity Log'!$C$6:$C$1005,$A446,'Activity Log'!$J$6:$J$1005,"No",'Activity Log'!$I$6:$I$1005,"&gt;0")=0,"",MINIFS('Activity Log'!$I$6:$I$1005,'Activity Log'!$C$6:$C$1005,$A446,'Activity Log'!$J$6:$J$1005,"No",'Activity Log'!$I$6:$I$1005,"&gt;0")))</x:f>
      </x:c>
      <x:c r="R446" s="57" t="str">
        <x:f>IF($C446="","",IF(OR($K446="Won",$K446="Lost",$K446="Disqualified"),"Closed",IF($Q446="","No date",IF(INT($Q446)&lt;TODAY(),"Overdue",IF(INT($Q446)=TODAY(),"Today",IF(INT($Q446)&lt;=TODAY()+7,"Next 7 days","Later"))))))</x:f>
      </x:c>
      <x:c r="S446" s="57" t="str">
        <x:f>IF(OR($C446="",$P446=""),"",TODAY()-INT($P446))</x:f>
      </x:c>
      <x:c r="T446" s="54"/>
      <x:c r="U446" s="54"/>
      <x:c r="V446" s="63"/>
      <x:c r="W446" s="74"/>
      <x:c r="X446" s="77" t="str">
        <x:f>IF($C446="","",IFERROR(VLOOKUP($M446,'Lists &amp; Rules'!$L$5:$N$13,2,FALSE),0))</x:f>
      </x:c>
      <x:c r="Y446" s="80" t="str">
        <x:f>IF(OR($C446="",$W446=""),"",ROUND($W446*$X446,0))</x:f>
      </x:c>
      <x:c r="Z446" s="57" t="str">
        <x:f>IF($A446="","",COUNTIF('Activity Log'!$C$6:$C$1005,$A446))</x:f>
      </x:c>
      <x:c r="AA446" s="68"/>
      <x:c r="AB446" s="63"/>
    </x:row>
    <x:row r="447">
      <x:c r="A447" s="54"/>
      <x:c r="B447" s="68"/>
      <x:c r="C447" s="54"/>
      <x:c r="D447" s="54"/>
      <x:c r="E447" s="54"/>
      <x:c r="F447" s="54"/>
      <x:c r="G447" s="54"/>
      <x:c r="H447" s="54"/>
      <x:c r="I447" s="54"/>
      <x:c r="J447" s="54"/>
      <x:c r="K447" s="54"/>
      <x:c r="L447" s="54"/>
      <x:c r="M447" s="54"/>
      <x:c r="N447" s="54"/>
      <x:c r="O447" s="57" t="str">
        <x:f>IF($C447="","",MAX(0,MIN(100,IFERROR(VLOOKUP($L447,'Lists &amp; Rules'!$P$5:$Q$8,2,FALSE),0)+IFERROR(VLOOKUP($N447,'Lists &amp; Rules'!$S$5:$T$7,2,FALSE),0)+IFERROR(VLOOKUP($M447,'Lists &amp; Rules'!$L$5:$N$13,3,FALSE),0)+IF($R447="Overdue",-10,IF($R447="Today",5,0))+MIN(15,$Z447*3))))</x:f>
      </x:c>
      <x:c r="P447" s="71" t="str">
        <x:f>IF($A447="","",IF(COUNTIF('Activity Log'!$C$6:$C$1005,$A447)=0,"",MAXIFS('Activity Log'!$B$6:$B$1005,'Activity Log'!$C$6:$C$1005,$A447)))</x:f>
      </x:c>
      <x:c r="Q447" s="71" t="str">
        <x:f>IF($A447="","",IF(COUNTIFS('Activity Log'!$C$6:$C$1005,$A447,'Activity Log'!$J$6:$J$1005,"No",'Activity Log'!$I$6:$I$1005,"&gt;0")=0,"",MINIFS('Activity Log'!$I$6:$I$1005,'Activity Log'!$C$6:$C$1005,$A447,'Activity Log'!$J$6:$J$1005,"No",'Activity Log'!$I$6:$I$1005,"&gt;0")))</x:f>
      </x:c>
      <x:c r="R447" s="57" t="str">
        <x:f>IF($C447="","",IF(OR($K447="Won",$K447="Lost",$K447="Disqualified"),"Closed",IF($Q447="","No date",IF(INT($Q447)&lt;TODAY(),"Overdue",IF(INT($Q447)=TODAY(),"Today",IF(INT($Q447)&lt;=TODAY()+7,"Next 7 days","Later"))))))</x:f>
      </x:c>
      <x:c r="S447" s="57" t="str">
        <x:f>IF(OR($C447="",$P447=""),"",TODAY()-INT($P447))</x:f>
      </x:c>
      <x:c r="T447" s="54"/>
      <x:c r="U447" s="54"/>
      <x:c r="V447" s="63"/>
      <x:c r="W447" s="74"/>
      <x:c r="X447" s="77" t="str">
        <x:f>IF($C447="","",IFERROR(VLOOKUP($M447,'Lists &amp; Rules'!$L$5:$N$13,2,FALSE),0))</x:f>
      </x:c>
      <x:c r="Y447" s="80" t="str">
        <x:f>IF(OR($C447="",$W447=""),"",ROUND($W447*$X447,0))</x:f>
      </x:c>
      <x:c r="Z447" s="57" t="str">
        <x:f>IF($A447="","",COUNTIF('Activity Log'!$C$6:$C$1005,$A447))</x:f>
      </x:c>
      <x:c r="AA447" s="68"/>
      <x:c r="AB447" s="63"/>
    </x:row>
    <x:row r="448">
      <x:c r="A448" s="54"/>
      <x:c r="B448" s="68"/>
      <x:c r="C448" s="54"/>
      <x:c r="D448" s="54"/>
      <x:c r="E448" s="54"/>
      <x:c r="F448" s="54"/>
      <x:c r="G448" s="54"/>
      <x:c r="H448" s="54"/>
      <x:c r="I448" s="54"/>
      <x:c r="J448" s="54"/>
      <x:c r="K448" s="54"/>
      <x:c r="L448" s="54"/>
      <x:c r="M448" s="54"/>
      <x:c r="N448" s="54"/>
      <x:c r="O448" s="57" t="str">
        <x:f>IF($C448="","",MAX(0,MIN(100,IFERROR(VLOOKUP($L448,'Lists &amp; Rules'!$P$5:$Q$8,2,FALSE),0)+IFERROR(VLOOKUP($N448,'Lists &amp; Rules'!$S$5:$T$7,2,FALSE),0)+IFERROR(VLOOKUP($M448,'Lists &amp; Rules'!$L$5:$N$13,3,FALSE),0)+IF($R448="Overdue",-10,IF($R448="Today",5,0))+MIN(15,$Z448*3))))</x:f>
      </x:c>
      <x:c r="P448" s="71" t="str">
        <x:f>IF($A448="","",IF(COUNTIF('Activity Log'!$C$6:$C$1005,$A448)=0,"",MAXIFS('Activity Log'!$B$6:$B$1005,'Activity Log'!$C$6:$C$1005,$A448)))</x:f>
      </x:c>
      <x:c r="Q448" s="71" t="str">
        <x:f>IF($A448="","",IF(COUNTIFS('Activity Log'!$C$6:$C$1005,$A448,'Activity Log'!$J$6:$J$1005,"No",'Activity Log'!$I$6:$I$1005,"&gt;0")=0,"",MINIFS('Activity Log'!$I$6:$I$1005,'Activity Log'!$C$6:$C$1005,$A448,'Activity Log'!$J$6:$J$1005,"No",'Activity Log'!$I$6:$I$1005,"&gt;0")))</x:f>
      </x:c>
      <x:c r="R448" s="57" t="str">
        <x:f>IF($C448="","",IF(OR($K448="Won",$K448="Lost",$K448="Disqualified"),"Closed",IF($Q448="","No date",IF(INT($Q448)&lt;TODAY(),"Overdue",IF(INT($Q448)=TODAY(),"Today",IF(INT($Q448)&lt;=TODAY()+7,"Next 7 days","Later"))))))</x:f>
      </x:c>
      <x:c r="S448" s="57" t="str">
        <x:f>IF(OR($C448="",$P448=""),"",TODAY()-INT($P448))</x:f>
      </x:c>
      <x:c r="T448" s="54"/>
      <x:c r="U448" s="54"/>
      <x:c r="V448" s="63"/>
      <x:c r="W448" s="74"/>
      <x:c r="X448" s="77" t="str">
        <x:f>IF($C448="","",IFERROR(VLOOKUP($M448,'Lists &amp; Rules'!$L$5:$N$13,2,FALSE),0))</x:f>
      </x:c>
      <x:c r="Y448" s="80" t="str">
        <x:f>IF(OR($C448="",$W448=""),"",ROUND($W448*$X448,0))</x:f>
      </x:c>
      <x:c r="Z448" s="57" t="str">
        <x:f>IF($A448="","",COUNTIF('Activity Log'!$C$6:$C$1005,$A448))</x:f>
      </x:c>
      <x:c r="AA448" s="68"/>
      <x:c r="AB448" s="63"/>
    </x:row>
    <x:row r="449">
      <x:c r="A449" s="54"/>
      <x:c r="B449" s="68"/>
      <x:c r="C449" s="54"/>
      <x:c r="D449" s="54"/>
      <x:c r="E449" s="54"/>
      <x:c r="F449" s="54"/>
      <x:c r="G449" s="54"/>
      <x:c r="H449" s="54"/>
      <x:c r="I449" s="54"/>
      <x:c r="J449" s="54"/>
      <x:c r="K449" s="54"/>
      <x:c r="L449" s="54"/>
      <x:c r="M449" s="54"/>
      <x:c r="N449" s="54"/>
      <x:c r="O449" s="57" t="str">
        <x:f>IF($C449="","",MAX(0,MIN(100,IFERROR(VLOOKUP($L449,'Lists &amp; Rules'!$P$5:$Q$8,2,FALSE),0)+IFERROR(VLOOKUP($N449,'Lists &amp; Rules'!$S$5:$T$7,2,FALSE),0)+IFERROR(VLOOKUP($M449,'Lists &amp; Rules'!$L$5:$N$13,3,FALSE),0)+IF($R449="Overdue",-10,IF($R449="Today",5,0))+MIN(15,$Z449*3))))</x:f>
      </x:c>
      <x:c r="P449" s="71" t="str">
        <x:f>IF($A449="","",IF(COUNTIF('Activity Log'!$C$6:$C$1005,$A449)=0,"",MAXIFS('Activity Log'!$B$6:$B$1005,'Activity Log'!$C$6:$C$1005,$A449)))</x:f>
      </x:c>
      <x:c r="Q449" s="71" t="str">
        <x:f>IF($A449="","",IF(COUNTIFS('Activity Log'!$C$6:$C$1005,$A449,'Activity Log'!$J$6:$J$1005,"No",'Activity Log'!$I$6:$I$1005,"&gt;0")=0,"",MINIFS('Activity Log'!$I$6:$I$1005,'Activity Log'!$C$6:$C$1005,$A449,'Activity Log'!$J$6:$J$1005,"No",'Activity Log'!$I$6:$I$1005,"&gt;0")))</x:f>
      </x:c>
      <x:c r="R449" s="57" t="str">
        <x:f>IF($C449="","",IF(OR($K449="Won",$K449="Lost",$K449="Disqualified"),"Closed",IF($Q449="","No date",IF(INT($Q449)&lt;TODAY(),"Overdue",IF(INT($Q449)=TODAY(),"Today",IF(INT($Q449)&lt;=TODAY()+7,"Next 7 days","Later"))))))</x:f>
      </x:c>
      <x:c r="S449" s="57" t="str">
        <x:f>IF(OR($C449="",$P449=""),"",TODAY()-INT($P449))</x:f>
      </x:c>
      <x:c r="T449" s="54"/>
      <x:c r="U449" s="54"/>
      <x:c r="V449" s="63"/>
      <x:c r="W449" s="74"/>
      <x:c r="X449" s="77" t="str">
        <x:f>IF($C449="","",IFERROR(VLOOKUP($M449,'Lists &amp; Rules'!$L$5:$N$13,2,FALSE),0))</x:f>
      </x:c>
      <x:c r="Y449" s="80" t="str">
        <x:f>IF(OR($C449="",$W449=""),"",ROUND($W449*$X449,0))</x:f>
      </x:c>
      <x:c r="Z449" s="57" t="str">
        <x:f>IF($A449="","",COUNTIF('Activity Log'!$C$6:$C$1005,$A449))</x:f>
      </x:c>
      <x:c r="AA449" s="68"/>
      <x:c r="AB449" s="63"/>
    </x:row>
    <x:row r="450">
      <x:c r="A450" s="54"/>
      <x:c r="B450" s="68"/>
      <x:c r="C450" s="54"/>
      <x:c r="D450" s="54"/>
      <x:c r="E450" s="54"/>
      <x:c r="F450" s="54"/>
      <x:c r="G450" s="54"/>
      <x:c r="H450" s="54"/>
      <x:c r="I450" s="54"/>
      <x:c r="J450" s="54"/>
      <x:c r="K450" s="54"/>
      <x:c r="L450" s="54"/>
      <x:c r="M450" s="54"/>
      <x:c r="N450" s="54"/>
      <x:c r="O450" s="57" t="str">
        <x:f>IF($C450="","",MAX(0,MIN(100,IFERROR(VLOOKUP($L450,'Lists &amp; Rules'!$P$5:$Q$8,2,FALSE),0)+IFERROR(VLOOKUP($N450,'Lists &amp; Rules'!$S$5:$T$7,2,FALSE),0)+IFERROR(VLOOKUP($M450,'Lists &amp; Rules'!$L$5:$N$13,3,FALSE),0)+IF($R450="Overdue",-10,IF($R450="Today",5,0))+MIN(15,$Z450*3))))</x:f>
      </x:c>
      <x:c r="P450" s="71" t="str">
        <x:f>IF($A450="","",IF(COUNTIF('Activity Log'!$C$6:$C$1005,$A450)=0,"",MAXIFS('Activity Log'!$B$6:$B$1005,'Activity Log'!$C$6:$C$1005,$A450)))</x:f>
      </x:c>
      <x:c r="Q450" s="71" t="str">
        <x:f>IF($A450="","",IF(COUNTIFS('Activity Log'!$C$6:$C$1005,$A450,'Activity Log'!$J$6:$J$1005,"No",'Activity Log'!$I$6:$I$1005,"&gt;0")=0,"",MINIFS('Activity Log'!$I$6:$I$1005,'Activity Log'!$C$6:$C$1005,$A450,'Activity Log'!$J$6:$J$1005,"No",'Activity Log'!$I$6:$I$1005,"&gt;0")))</x:f>
      </x:c>
      <x:c r="R450" s="57" t="str">
        <x:f>IF($C450="","",IF(OR($K450="Won",$K450="Lost",$K450="Disqualified"),"Closed",IF($Q450="","No date",IF(INT($Q450)&lt;TODAY(),"Overdue",IF(INT($Q450)=TODAY(),"Today",IF(INT($Q450)&lt;=TODAY()+7,"Next 7 days","Later"))))))</x:f>
      </x:c>
      <x:c r="S450" s="57" t="str">
        <x:f>IF(OR($C450="",$P450=""),"",TODAY()-INT($P450))</x:f>
      </x:c>
      <x:c r="T450" s="54"/>
      <x:c r="U450" s="54"/>
      <x:c r="V450" s="63"/>
      <x:c r="W450" s="74"/>
      <x:c r="X450" s="77" t="str">
        <x:f>IF($C450="","",IFERROR(VLOOKUP($M450,'Lists &amp; Rules'!$L$5:$N$13,2,FALSE),0))</x:f>
      </x:c>
      <x:c r="Y450" s="80" t="str">
        <x:f>IF(OR($C450="",$W450=""),"",ROUND($W450*$X450,0))</x:f>
      </x:c>
      <x:c r="Z450" s="57" t="str">
        <x:f>IF($A450="","",COUNTIF('Activity Log'!$C$6:$C$1005,$A450))</x:f>
      </x:c>
      <x:c r="AA450" s="68"/>
      <x:c r="AB450" s="63"/>
    </x:row>
    <x:row r="451">
      <x:c r="A451" s="54"/>
      <x:c r="B451" s="68"/>
      <x:c r="C451" s="54"/>
      <x:c r="D451" s="54"/>
      <x:c r="E451" s="54"/>
      <x:c r="F451" s="54"/>
      <x:c r="G451" s="54"/>
      <x:c r="H451" s="54"/>
      <x:c r="I451" s="54"/>
      <x:c r="J451" s="54"/>
      <x:c r="K451" s="54"/>
      <x:c r="L451" s="54"/>
      <x:c r="M451" s="54"/>
      <x:c r="N451" s="54"/>
      <x:c r="O451" s="57" t="str">
        <x:f>IF($C451="","",MAX(0,MIN(100,IFERROR(VLOOKUP($L451,'Lists &amp; Rules'!$P$5:$Q$8,2,FALSE),0)+IFERROR(VLOOKUP($N451,'Lists &amp; Rules'!$S$5:$T$7,2,FALSE),0)+IFERROR(VLOOKUP($M451,'Lists &amp; Rules'!$L$5:$N$13,3,FALSE),0)+IF($R451="Overdue",-10,IF($R451="Today",5,0))+MIN(15,$Z451*3))))</x:f>
      </x:c>
      <x:c r="P451" s="71" t="str">
        <x:f>IF($A451="","",IF(COUNTIF('Activity Log'!$C$6:$C$1005,$A451)=0,"",MAXIFS('Activity Log'!$B$6:$B$1005,'Activity Log'!$C$6:$C$1005,$A451)))</x:f>
      </x:c>
      <x:c r="Q451" s="71" t="str">
        <x:f>IF($A451="","",IF(COUNTIFS('Activity Log'!$C$6:$C$1005,$A451,'Activity Log'!$J$6:$J$1005,"No",'Activity Log'!$I$6:$I$1005,"&gt;0")=0,"",MINIFS('Activity Log'!$I$6:$I$1005,'Activity Log'!$C$6:$C$1005,$A451,'Activity Log'!$J$6:$J$1005,"No",'Activity Log'!$I$6:$I$1005,"&gt;0")))</x:f>
      </x:c>
      <x:c r="R451" s="57" t="str">
        <x:f>IF($C451="","",IF(OR($K451="Won",$K451="Lost",$K451="Disqualified"),"Closed",IF($Q451="","No date",IF(INT($Q451)&lt;TODAY(),"Overdue",IF(INT($Q451)=TODAY(),"Today",IF(INT($Q451)&lt;=TODAY()+7,"Next 7 days","Later"))))))</x:f>
      </x:c>
      <x:c r="S451" s="57" t="str">
        <x:f>IF(OR($C451="",$P451=""),"",TODAY()-INT($P451))</x:f>
      </x:c>
      <x:c r="T451" s="54"/>
      <x:c r="U451" s="54"/>
      <x:c r="V451" s="63"/>
      <x:c r="W451" s="74"/>
      <x:c r="X451" s="77" t="str">
        <x:f>IF($C451="","",IFERROR(VLOOKUP($M451,'Lists &amp; Rules'!$L$5:$N$13,2,FALSE),0))</x:f>
      </x:c>
      <x:c r="Y451" s="80" t="str">
        <x:f>IF(OR($C451="",$W451=""),"",ROUND($W451*$X451,0))</x:f>
      </x:c>
      <x:c r="Z451" s="57" t="str">
        <x:f>IF($A451="","",COUNTIF('Activity Log'!$C$6:$C$1005,$A451))</x:f>
      </x:c>
      <x:c r="AA451" s="68"/>
      <x:c r="AB451" s="63"/>
    </x:row>
    <x:row r="452">
      <x:c r="A452" s="54"/>
      <x:c r="B452" s="68"/>
      <x:c r="C452" s="54"/>
      <x:c r="D452" s="54"/>
      <x:c r="E452" s="54"/>
      <x:c r="F452" s="54"/>
      <x:c r="G452" s="54"/>
      <x:c r="H452" s="54"/>
      <x:c r="I452" s="54"/>
      <x:c r="J452" s="54"/>
      <x:c r="K452" s="54"/>
      <x:c r="L452" s="54"/>
      <x:c r="M452" s="54"/>
      <x:c r="N452" s="54"/>
      <x:c r="O452" s="57" t="str">
        <x:f>IF($C452="","",MAX(0,MIN(100,IFERROR(VLOOKUP($L452,'Lists &amp; Rules'!$P$5:$Q$8,2,FALSE),0)+IFERROR(VLOOKUP($N452,'Lists &amp; Rules'!$S$5:$T$7,2,FALSE),0)+IFERROR(VLOOKUP($M452,'Lists &amp; Rules'!$L$5:$N$13,3,FALSE),0)+IF($R452="Overdue",-10,IF($R452="Today",5,0))+MIN(15,$Z452*3))))</x:f>
      </x:c>
      <x:c r="P452" s="71" t="str">
        <x:f>IF($A452="","",IF(COUNTIF('Activity Log'!$C$6:$C$1005,$A452)=0,"",MAXIFS('Activity Log'!$B$6:$B$1005,'Activity Log'!$C$6:$C$1005,$A452)))</x:f>
      </x:c>
      <x:c r="Q452" s="71" t="str">
        <x:f>IF($A452="","",IF(COUNTIFS('Activity Log'!$C$6:$C$1005,$A452,'Activity Log'!$J$6:$J$1005,"No",'Activity Log'!$I$6:$I$1005,"&gt;0")=0,"",MINIFS('Activity Log'!$I$6:$I$1005,'Activity Log'!$C$6:$C$1005,$A452,'Activity Log'!$J$6:$J$1005,"No",'Activity Log'!$I$6:$I$1005,"&gt;0")))</x:f>
      </x:c>
      <x:c r="R452" s="57" t="str">
        <x:f>IF($C452="","",IF(OR($K452="Won",$K452="Lost",$K452="Disqualified"),"Closed",IF($Q452="","No date",IF(INT($Q452)&lt;TODAY(),"Overdue",IF(INT($Q452)=TODAY(),"Today",IF(INT($Q452)&lt;=TODAY()+7,"Next 7 days","Later"))))))</x:f>
      </x:c>
      <x:c r="S452" s="57" t="str">
        <x:f>IF(OR($C452="",$P452=""),"",TODAY()-INT($P452))</x:f>
      </x:c>
      <x:c r="T452" s="54"/>
      <x:c r="U452" s="54"/>
      <x:c r="V452" s="63"/>
      <x:c r="W452" s="74"/>
      <x:c r="X452" s="77" t="str">
        <x:f>IF($C452="","",IFERROR(VLOOKUP($M452,'Lists &amp; Rules'!$L$5:$N$13,2,FALSE),0))</x:f>
      </x:c>
      <x:c r="Y452" s="80" t="str">
        <x:f>IF(OR($C452="",$W452=""),"",ROUND($W452*$X452,0))</x:f>
      </x:c>
      <x:c r="Z452" s="57" t="str">
        <x:f>IF($A452="","",COUNTIF('Activity Log'!$C$6:$C$1005,$A452))</x:f>
      </x:c>
      <x:c r="AA452" s="68"/>
      <x:c r="AB452" s="63"/>
    </x:row>
    <x:row r="453">
      <x:c r="A453" s="54"/>
      <x:c r="B453" s="68"/>
      <x:c r="C453" s="54"/>
      <x:c r="D453" s="54"/>
      <x:c r="E453" s="54"/>
      <x:c r="F453" s="54"/>
      <x:c r="G453" s="54"/>
      <x:c r="H453" s="54"/>
      <x:c r="I453" s="54"/>
      <x:c r="J453" s="54"/>
      <x:c r="K453" s="54"/>
      <x:c r="L453" s="54"/>
      <x:c r="M453" s="54"/>
      <x:c r="N453" s="54"/>
      <x:c r="O453" s="57" t="str">
        <x:f>IF($C453="","",MAX(0,MIN(100,IFERROR(VLOOKUP($L453,'Lists &amp; Rules'!$P$5:$Q$8,2,FALSE),0)+IFERROR(VLOOKUP($N453,'Lists &amp; Rules'!$S$5:$T$7,2,FALSE),0)+IFERROR(VLOOKUP($M453,'Lists &amp; Rules'!$L$5:$N$13,3,FALSE),0)+IF($R453="Overdue",-10,IF($R453="Today",5,0))+MIN(15,$Z453*3))))</x:f>
      </x:c>
      <x:c r="P453" s="71" t="str">
        <x:f>IF($A453="","",IF(COUNTIF('Activity Log'!$C$6:$C$1005,$A453)=0,"",MAXIFS('Activity Log'!$B$6:$B$1005,'Activity Log'!$C$6:$C$1005,$A453)))</x:f>
      </x:c>
      <x:c r="Q453" s="71" t="str">
        <x:f>IF($A453="","",IF(COUNTIFS('Activity Log'!$C$6:$C$1005,$A453,'Activity Log'!$J$6:$J$1005,"No",'Activity Log'!$I$6:$I$1005,"&gt;0")=0,"",MINIFS('Activity Log'!$I$6:$I$1005,'Activity Log'!$C$6:$C$1005,$A453,'Activity Log'!$J$6:$J$1005,"No",'Activity Log'!$I$6:$I$1005,"&gt;0")))</x:f>
      </x:c>
      <x:c r="R453" s="57" t="str">
        <x:f>IF($C453="","",IF(OR($K453="Won",$K453="Lost",$K453="Disqualified"),"Closed",IF($Q453="","No date",IF(INT($Q453)&lt;TODAY(),"Overdue",IF(INT($Q453)=TODAY(),"Today",IF(INT($Q453)&lt;=TODAY()+7,"Next 7 days","Later"))))))</x:f>
      </x:c>
      <x:c r="S453" s="57" t="str">
        <x:f>IF(OR($C453="",$P453=""),"",TODAY()-INT($P453))</x:f>
      </x:c>
      <x:c r="T453" s="54"/>
      <x:c r="U453" s="54"/>
      <x:c r="V453" s="63"/>
      <x:c r="W453" s="74"/>
      <x:c r="X453" s="77" t="str">
        <x:f>IF($C453="","",IFERROR(VLOOKUP($M453,'Lists &amp; Rules'!$L$5:$N$13,2,FALSE),0))</x:f>
      </x:c>
      <x:c r="Y453" s="80" t="str">
        <x:f>IF(OR($C453="",$W453=""),"",ROUND($W453*$X453,0))</x:f>
      </x:c>
      <x:c r="Z453" s="57" t="str">
        <x:f>IF($A453="","",COUNTIF('Activity Log'!$C$6:$C$1005,$A453))</x:f>
      </x:c>
      <x:c r="AA453" s="68"/>
      <x:c r="AB453" s="63"/>
    </x:row>
    <x:row r="454">
      <x:c r="A454" s="54"/>
      <x:c r="B454" s="68"/>
      <x:c r="C454" s="54"/>
      <x:c r="D454" s="54"/>
      <x:c r="E454" s="54"/>
      <x:c r="F454" s="54"/>
      <x:c r="G454" s="54"/>
      <x:c r="H454" s="54"/>
      <x:c r="I454" s="54"/>
      <x:c r="J454" s="54"/>
      <x:c r="K454" s="54"/>
      <x:c r="L454" s="54"/>
      <x:c r="M454" s="54"/>
      <x:c r="N454" s="54"/>
      <x:c r="O454" s="57" t="str">
        <x:f>IF($C454="","",MAX(0,MIN(100,IFERROR(VLOOKUP($L454,'Lists &amp; Rules'!$P$5:$Q$8,2,FALSE),0)+IFERROR(VLOOKUP($N454,'Lists &amp; Rules'!$S$5:$T$7,2,FALSE),0)+IFERROR(VLOOKUP($M454,'Lists &amp; Rules'!$L$5:$N$13,3,FALSE),0)+IF($R454="Overdue",-10,IF($R454="Today",5,0))+MIN(15,$Z454*3))))</x:f>
      </x:c>
      <x:c r="P454" s="71" t="str">
        <x:f>IF($A454="","",IF(COUNTIF('Activity Log'!$C$6:$C$1005,$A454)=0,"",MAXIFS('Activity Log'!$B$6:$B$1005,'Activity Log'!$C$6:$C$1005,$A454)))</x:f>
      </x:c>
      <x:c r="Q454" s="71" t="str">
        <x:f>IF($A454="","",IF(COUNTIFS('Activity Log'!$C$6:$C$1005,$A454,'Activity Log'!$J$6:$J$1005,"No",'Activity Log'!$I$6:$I$1005,"&gt;0")=0,"",MINIFS('Activity Log'!$I$6:$I$1005,'Activity Log'!$C$6:$C$1005,$A454,'Activity Log'!$J$6:$J$1005,"No",'Activity Log'!$I$6:$I$1005,"&gt;0")))</x:f>
      </x:c>
      <x:c r="R454" s="57" t="str">
        <x:f>IF($C454="","",IF(OR($K454="Won",$K454="Lost",$K454="Disqualified"),"Closed",IF($Q454="","No date",IF(INT($Q454)&lt;TODAY(),"Overdue",IF(INT($Q454)=TODAY(),"Today",IF(INT($Q454)&lt;=TODAY()+7,"Next 7 days","Later"))))))</x:f>
      </x:c>
      <x:c r="S454" s="57" t="str">
        <x:f>IF(OR($C454="",$P454=""),"",TODAY()-INT($P454))</x:f>
      </x:c>
      <x:c r="T454" s="54"/>
      <x:c r="U454" s="54"/>
      <x:c r="V454" s="63"/>
      <x:c r="W454" s="74"/>
      <x:c r="X454" s="77" t="str">
        <x:f>IF($C454="","",IFERROR(VLOOKUP($M454,'Lists &amp; Rules'!$L$5:$N$13,2,FALSE),0))</x:f>
      </x:c>
      <x:c r="Y454" s="80" t="str">
        <x:f>IF(OR($C454="",$W454=""),"",ROUND($W454*$X454,0))</x:f>
      </x:c>
      <x:c r="Z454" s="57" t="str">
        <x:f>IF($A454="","",COUNTIF('Activity Log'!$C$6:$C$1005,$A454))</x:f>
      </x:c>
      <x:c r="AA454" s="68"/>
      <x:c r="AB454" s="63"/>
    </x:row>
    <x:row r="455">
      <x:c r="A455" s="54"/>
      <x:c r="B455" s="68"/>
      <x:c r="C455" s="54"/>
      <x:c r="D455" s="54"/>
      <x:c r="E455" s="54"/>
      <x:c r="F455" s="54"/>
      <x:c r="G455" s="54"/>
      <x:c r="H455" s="54"/>
      <x:c r="I455" s="54"/>
      <x:c r="J455" s="54"/>
      <x:c r="K455" s="54"/>
      <x:c r="L455" s="54"/>
      <x:c r="M455" s="54"/>
      <x:c r="N455" s="54"/>
      <x:c r="O455" s="57" t="str">
        <x:f>IF($C455="","",MAX(0,MIN(100,IFERROR(VLOOKUP($L455,'Lists &amp; Rules'!$P$5:$Q$8,2,FALSE),0)+IFERROR(VLOOKUP($N455,'Lists &amp; Rules'!$S$5:$T$7,2,FALSE),0)+IFERROR(VLOOKUP($M455,'Lists &amp; Rules'!$L$5:$N$13,3,FALSE),0)+IF($R455="Overdue",-10,IF($R455="Today",5,0))+MIN(15,$Z455*3))))</x:f>
      </x:c>
      <x:c r="P455" s="71" t="str">
        <x:f>IF($A455="","",IF(COUNTIF('Activity Log'!$C$6:$C$1005,$A455)=0,"",MAXIFS('Activity Log'!$B$6:$B$1005,'Activity Log'!$C$6:$C$1005,$A455)))</x:f>
      </x:c>
      <x:c r="Q455" s="71" t="str">
        <x:f>IF($A455="","",IF(COUNTIFS('Activity Log'!$C$6:$C$1005,$A455,'Activity Log'!$J$6:$J$1005,"No",'Activity Log'!$I$6:$I$1005,"&gt;0")=0,"",MINIFS('Activity Log'!$I$6:$I$1005,'Activity Log'!$C$6:$C$1005,$A455,'Activity Log'!$J$6:$J$1005,"No",'Activity Log'!$I$6:$I$1005,"&gt;0")))</x:f>
      </x:c>
      <x:c r="R455" s="57" t="str">
        <x:f>IF($C455="","",IF(OR($K455="Won",$K455="Lost",$K455="Disqualified"),"Closed",IF($Q455="","No date",IF(INT($Q455)&lt;TODAY(),"Overdue",IF(INT($Q455)=TODAY(),"Today",IF(INT($Q455)&lt;=TODAY()+7,"Next 7 days","Later"))))))</x:f>
      </x:c>
      <x:c r="S455" s="57" t="str">
        <x:f>IF(OR($C455="",$P455=""),"",TODAY()-INT($P455))</x:f>
      </x:c>
      <x:c r="T455" s="54"/>
      <x:c r="U455" s="54"/>
      <x:c r="V455" s="63"/>
      <x:c r="W455" s="74"/>
      <x:c r="X455" s="77" t="str">
        <x:f>IF($C455="","",IFERROR(VLOOKUP($M455,'Lists &amp; Rules'!$L$5:$N$13,2,FALSE),0))</x:f>
      </x:c>
      <x:c r="Y455" s="80" t="str">
        <x:f>IF(OR($C455="",$W455=""),"",ROUND($W455*$X455,0))</x:f>
      </x:c>
      <x:c r="Z455" s="57" t="str">
        <x:f>IF($A455="","",COUNTIF('Activity Log'!$C$6:$C$1005,$A455))</x:f>
      </x:c>
      <x:c r="AA455" s="68"/>
      <x:c r="AB455" s="63"/>
    </x:row>
    <x:row r="456">
      <x:c r="A456" s="54"/>
      <x:c r="B456" s="68"/>
      <x:c r="C456" s="54"/>
      <x:c r="D456" s="54"/>
      <x:c r="E456" s="54"/>
      <x:c r="F456" s="54"/>
      <x:c r="G456" s="54"/>
      <x:c r="H456" s="54"/>
      <x:c r="I456" s="54"/>
      <x:c r="J456" s="54"/>
      <x:c r="K456" s="54"/>
      <x:c r="L456" s="54"/>
      <x:c r="M456" s="54"/>
      <x:c r="N456" s="54"/>
      <x:c r="O456" s="57" t="str">
        <x:f>IF($C456="","",MAX(0,MIN(100,IFERROR(VLOOKUP($L456,'Lists &amp; Rules'!$P$5:$Q$8,2,FALSE),0)+IFERROR(VLOOKUP($N456,'Lists &amp; Rules'!$S$5:$T$7,2,FALSE),0)+IFERROR(VLOOKUP($M456,'Lists &amp; Rules'!$L$5:$N$13,3,FALSE),0)+IF($R456="Overdue",-10,IF($R456="Today",5,0))+MIN(15,$Z456*3))))</x:f>
      </x:c>
      <x:c r="P456" s="71" t="str">
        <x:f>IF($A456="","",IF(COUNTIF('Activity Log'!$C$6:$C$1005,$A456)=0,"",MAXIFS('Activity Log'!$B$6:$B$1005,'Activity Log'!$C$6:$C$1005,$A456)))</x:f>
      </x:c>
      <x:c r="Q456" s="71" t="str">
        <x:f>IF($A456="","",IF(COUNTIFS('Activity Log'!$C$6:$C$1005,$A456,'Activity Log'!$J$6:$J$1005,"No",'Activity Log'!$I$6:$I$1005,"&gt;0")=0,"",MINIFS('Activity Log'!$I$6:$I$1005,'Activity Log'!$C$6:$C$1005,$A456,'Activity Log'!$J$6:$J$1005,"No",'Activity Log'!$I$6:$I$1005,"&gt;0")))</x:f>
      </x:c>
      <x:c r="R456" s="57" t="str">
        <x:f>IF($C456="","",IF(OR($K456="Won",$K456="Lost",$K456="Disqualified"),"Closed",IF($Q456="","No date",IF(INT($Q456)&lt;TODAY(),"Overdue",IF(INT($Q456)=TODAY(),"Today",IF(INT($Q456)&lt;=TODAY()+7,"Next 7 days","Later"))))))</x:f>
      </x:c>
      <x:c r="S456" s="57" t="str">
        <x:f>IF(OR($C456="",$P456=""),"",TODAY()-INT($P456))</x:f>
      </x:c>
      <x:c r="T456" s="54"/>
      <x:c r="U456" s="54"/>
      <x:c r="V456" s="63"/>
      <x:c r="W456" s="74"/>
      <x:c r="X456" s="77" t="str">
        <x:f>IF($C456="","",IFERROR(VLOOKUP($M456,'Lists &amp; Rules'!$L$5:$N$13,2,FALSE),0))</x:f>
      </x:c>
      <x:c r="Y456" s="80" t="str">
        <x:f>IF(OR($C456="",$W456=""),"",ROUND($W456*$X456,0))</x:f>
      </x:c>
      <x:c r="Z456" s="57" t="str">
        <x:f>IF($A456="","",COUNTIF('Activity Log'!$C$6:$C$1005,$A456))</x:f>
      </x:c>
      <x:c r="AA456" s="68"/>
      <x:c r="AB456" s="63"/>
    </x:row>
    <x:row r="457">
      <x:c r="A457" s="54"/>
      <x:c r="B457" s="68"/>
      <x:c r="C457" s="54"/>
      <x:c r="D457" s="54"/>
      <x:c r="E457" s="54"/>
      <x:c r="F457" s="54"/>
      <x:c r="G457" s="54"/>
      <x:c r="H457" s="54"/>
      <x:c r="I457" s="54"/>
      <x:c r="J457" s="54"/>
      <x:c r="K457" s="54"/>
      <x:c r="L457" s="54"/>
      <x:c r="M457" s="54"/>
      <x:c r="N457" s="54"/>
      <x:c r="O457" s="57" t="str">
        <x:f>IF($C457="","",MAX(0,MIN(100,IFERROR(VLOOKUP($L457,'Lists &amp; Rules'!$P$5:$Q$8,2,FALSE),0)+IFERROR(VLOOKUP($N457,'Lists &amp; Rules'!$S$5:$T$7,2,FALSE),0)+IFERROR(VLOOKUP($M457,'Lists &amp; Rules'!$L$5:$N$13,3,FALSE),0)+IF($R457="Overdue",-10,IF($R457="Today",5,0))+MIN(15,$Z457*3))))</x:f>
      </x:c>
      <x:c r="P457" s="71" t="str">
        <x:f>IF($A457="","",IF(COUNTIF('Activity Log'!$C$6:$C$1005,$A457)=0,"",MAXIFS('Activity Log'!$B$6:$B$1005,'Activity Log'!$C$6:$C$1005,$A457)))</x:f>
      </x:c>
      <x:c r="Q457" s="71" t="str">
        <x:f>IF($A457="","",IF(COUNTIFS('Activity Log'!$C$6:$C$1005,$A457,'Activity Log'!$J$6:$J$1005,"No",'Activity Log'!$I$6:$I$1005,"&gt;0")=0,"",MINIFS('Activity Log'!$I$6:$I$1005,'Activity Log'!$C$6:$C$1005,$A457,'Activity Log'!$J$6:$J$1005,"No",'Activity Log'!$I$6:$I$1005,"&gt;0")))</x:f>
      </x:c>
      <x:c r="R457" s="57" t="str">
        <x:f>IF($C457="","",IF(OR($K457="Won",$K457="Lost",$K457="Disqualified"),"Closed",IF($Q457="","No date",IF(INT($Q457)&lt;TODAY(),"Overdue",IF(INT($Q457)=TODAY(),"Today",IF(INT($Q457)&lt;=TODAY()+7,"Next 7 days","Later"))))))</x:f>
      </x:c>
      <x:c r="S457" s="57" t="str">
        <x:f>IF(OR($C457="",$P457=""),"",TODAY()-INT($P457))</x:f>
      </x:c>
      <x:c r="T457" s="54"/>
      <x:c r="U457" s="54"/>
      <x:c r="V457" s="63"/>
      <x:c r="W457" s="74"/>
      <x:c r="X457" s="77" t="str">
        <x:f>IF($C457="","",IFERROR(VLOOKUP($M457,'Lists &amp; Rules'!$L$5:$N$13,2,FALSE),0))</x:f>
      </x:c>
      <x:c r="Y457" s="80" t="str">
        <x:f>IF(OR($C457="",$W457=""),"",ROUND($W457*$X457,0))</x:f>
      </x:c>
      <x:c r="Z457" s="57" t="str">
        <x:f>IF($A457="","",COUNTIF('Activity Log'!$C$6:$C$1005,$A457))</x:f>
      </x:c>
      <x:c r="AA457" s="68"/>
      <x:c r="AB457" s="63"/>
    </x:row>
    <x:row r="458">
      <x:c r="A458" s="54"/>
      <x:c r="B458" s="68"/>
      <x:c r="C458" s="54"/>
      <x:c r="D458" s="54"/>
      <x:c r="E458" s="54"/>
      <x:c r="F458" s="54"/>
      <x:c r="G458" s="54"/>
      <x:c r="H458" s="54"/>
      <x:c r="I458" s="54"/>
      <x:c r="J458" s="54"/>
      <x:c r="K458" s="54"/>
      <x:c r="L458" s="54"/>
      <x:c r="M458" s="54"/>
      <x:c r="N458" s="54"/>
      <x:c r="O458" s="57" t="str">
        <x:f>IF($C458="","",MAX(0,MIN(100,IFERROR(VLOOKUP($L458,'Lists &amp; Rules'!$P$5:$Q$8,2,FALSE),0)+IFERROR(VLOOKUP($N458,'Lists &amp; Rules'!$S$5:$T$7,2,FALSE),0)+IFERROR(VLOOKUP($M458,'Lists &amp; Rules'!$L$5:$N$13,3,FALSE),0)+IF($R458="Overdue",-10,IF($R458="Today",5,0))+MIN(15,$Z458*3))))</x:f>
      </x:c>
      <x:c r="P458" s="71" t="str">
        <x:f>IF($A458="","",IF(COUNTIF('Activity Log'!$C$6:$C$1005,$A458)=0,"",MAXIFS('Activity Log'!$B$6:$B$1005,'Activity Log'!$C$6:$C$1005,$A458)))</x:f>
      </x:c>
      <x:c r="Q458" s="71" t="str">
        <x:f>IF($A458="","",IF(COUNTIFS('Activity Log'!$C$6:$C$1005,$A458,'Activity Log'!$J$6:$J$1005,"No",'Activity Log'!$I$6:$I$1005,"&gt;0")=0,"",MINIFS('Activity Log'!$I$6:$I$1005,'Activity Log'!$C$6:$C$1005,$A458,'Activity Log'!$J$6:$J$1005,"No",'Activity Log'!$I$6:$I$1005,"&gt;0")))</x:f>
      </x:c>
      <x:c r="R458" s="57" t="str">
        <x:f>IF($C458="","",IF(OR($K458="Won",$K458="Lost",$K458="Disqualified"),"Closed",IF($Q458="","No date",IF(INT($Q458)&lt;TODAY(),"Overdue",IF(INT($Q458)=TODAY(),"Today",IF(INT($Q458)&lt;=TODAY()+7,"Next 7 days","Later"))))))</x:f>
      </x:c>
      <x:c r="S458" s="57" t="str">
        <x:f>IF(OR($C458="",$P458=""),"",TODAY()-INT($P458))</x:f>
      </x:c>
      <x:c r="T458" s="54"/>
      <x:c r="U458" s="54"/>
      <x:c r="V458" s="63"/>
      <x:c r="W458" s="74"/>
      <x:c r="X458" s="77" t="str">
        <x:f>IF($C458="","",IFERROR(VLOOKUP($M458,'Lists &amp; Rules'!$L$5:$N$13,2,FALSE),0))</x:f>
      </x:c>
      <x:c r="Y458" s="80" t="str">
        <x:f>IF(OR($C458="",$W458=""),"",ROUND($W458*$X458,0))</x:f>
      </x:c>
      <x:c r="Z458" s="57" t="str">
        <x:f>IF($A458="","",COUNTIF('Activity Log'!$C$6:$C$1005,$A458))</x:f>
      </x:c>
      <x:c r="AA458" s="68"/>
      <x:c r="AB458" s="63"/>
    </x:row>
    <x:row r="459">
      <x:c r="A459" s="54"/>
      <x:c r="B459" s="68"/>
      <x:c r="C459" s="54"/>
      <x:c r="D459" s="54"/>
      <x:c r="E459" s="54"/>
      <x:c r="F459" s="54"/>
      <x:c r="G459" s="54"/>
      <x:c r="H459" s="54"/>
      <x:c r="I459" s="54"/>
      <x:c r="J459" s="54"/>
      <x:c r="K459" s="54"/>
      <x:c r="L459" s="54"/>
      <x:c r="M459" s="54"/>
      <x:c r="N459" s="54"/>
      <x:c r="O459" s="57" t="str">
        <x:f>IF($C459="","",MAX(0,MIN(100,IFERROR(VLOOKUP($L459,'Lists &amp; Rules'!$P$5:$Q$8,2,FALSE),0)+IFERROR(VLOOKUP($N459,'Lists &amp; Rules'!$S$5:$T$7,2,FALSE),0)+IFERROR(VLOOKUP($M459,'Lists &amp; Rules'!$L$5:$N$13,3,FALSE),0)+IF($R459="Overdue",-10,IF($R459="Today",5,0))+MIN(15,$Z459*3))))</x:f>
      </x:c>
      <x:c r="P459" s="71" t="str">
        <x:f>IF($A459="","",IF(COUNTIF('Activity Log'!$C$6:$C$1005,$A459)=0,"",MAXIFS('Activity Log'!$B$6:$B$1005,'Activity Log'!$C$6:$C$1005,$A459)))</x:f>
      </x:c>
      <x:c r="Q459" s="71" t="str">
        <x:f>IF($A459="","",IF(COUNTIFS('Activity Log'!$C$6:$C$1005,$A459,'Activity Log'!$J$6:$J$1005,"No",'Activity Log'!$I$6:$I$1005,"&gt;0")=0,"",MINIFS('Activity Log'!$I$6:$I$1005,'Activity Log'!$C$6:$C$1005,$A459,'Activity Log'!$J$6:$J$1005,"No",'Activity Log'!$I$6:$I$1005,"&gt;0")))</x:f>
      </x:c>
      <x:c r="R459" s="57" t="str">
        <x:f>IF($C459="","",IF(OR($K459="Won",$K459="Lost",$K459="Disqualified"),"Closed",IF($Q459="","No date",IF(INT($Q459)&lt;TODAY(),"Overdue",IF(INT($Q459)=TODAY(),"Today",IF(INT($Q459)&lt;=TODAY()+7,"Next 7 days","Later"))))))</x:f>
      </x:c>
      <x:c r="S459" s="57" t="str">
        <x:f>IF(OR($C459="",$P459=""),"",TODAY()-INT($P459))</x:f>
      </x:c>
      <x:c r="T459" s="54"/>
      <x:c r="U459" s="54"/>
      <x:c r="V459" s="63"/>
      <x:c r="W459" s="74"/>
      <x:c r="X459" s="77" t="str">
        <x:f>IF($C459="","",IFERROR(VLOOKUP($M459,'Lists &amp; Rules'!$L$5:$N$13,2,FALSE),0))</x:f>
      </x:c>
      <x:c r="Y459" s="80" t="str">
        <x:f>IF(OR($C459="",$W459=""),"",ROUND($W459*$X459,0))</x:f>
      </x:c>
      <x:c r="Z459" s="57" t="str">
        <x:f>IF($A459="","",COUNTIF('Activity Log'!$C$6:$C$1005,$A459))</x:f>
      </x:c>
      <x:c r="AA459" s="68"/>
      <x:c r="AB459" s="63"/>
    </x:row>
    <x:row r="460">
      <x:c r="A460" s="54"/>
      <x:c r="B460" s="68"/>
      <x:c r="C460" s="54"/>
      <x:c r="D460" s="54"/>
      <x:c r="E460" s="54"/>
      <x:c r="F460" s="54"/>
      <x:c r="G460" s="54"/>
      <x:c r="H460" s="54"/>
      <x:c r="I460" s="54"/>
      <x:c r="J460" s="54"/>
      <x:c r="K460" s="54"/>
      <x:c r="L460" s="54"/>
      <x:c r="M460" s="54"/>
      <x:c r="N460" s="54"/>
      <x:c r="O460" s="57" t="str">
        <x:f>IF($C460="","",MAX(0,MIN(100,IFERROR(VLOOKUP($L460,'Lists &amp; Rules'!$P$5:$Q$8,2,FALSE),0)+IFERROR(VLOOKUP($N460,'Lists &amp; Rules'!$S$5:$T$7,2,FALSE),0)+IFERROR(VLOOKUP($M460,'Lists &amp; Rules'!$L$5:$N$13,3,FALSE),0)+IF($R460="Overdue",-10,IF($R460="Today",5,0))+MIN(15,$Z460*3))))</x:f>
      </x:c>
      <x:c r="P460" s="71" t="str">
        <x:f>IF($A460="","",IF(COUNTIF('Activity Log'!$C$6:$C$1005,$A460)=0,"",MAXIFS('Activity Log'!$B$6:$B$1005,'Activity Log'!$C$6:$C$1005,$A460)))</x:f>
      </x:c>
      <x:c r="Q460" s="71" t="str">
        <x:f>IF($A460="","",IF(COUNTIFS('Activity Log'!$C$6:$C$1005,$A460,'Activity Log'!$J$6:$J$1005,"No",'Activity Log'!$I$6:$I$1005,"&gt;0")=0,"",MINIFS('Activity Log'!$I$6:$I$1005,'Activity Log'!$C$6:$C$1005,$A460,'Activity Log'!$J$6:$J$1005,"No",'Activity Log'!$I$6:$I$1005,"&gt;0")))</x:f>
      </x:c>
      <x:c r="R460" s="57" t="str">
        <x:f>IF($C460="","",IF(OR($K460="Won",$K460="Lost",$K460="Disqualified"),"Closed",IF($Q460="","No date",IF(INT($Q460)&lt;TODAY(),"Overdue",IF(INT($Q460)=TODAY(),"Today",IF(INT($Q460)&lt;=TODAY()+7,"Next 7 days","Later"))))))</x:f>
      </x:c>
      <x:c r="S460" s="57" t="str">
        <x:f>IF(OR($C460="",$P460=""),"",TODAY()-INT($P460))</x:f>
      </x:c>
      <x:c r="T460" s="54"/>
      <x:c r="U460" s="54"/>
      <x:c r="V460" s="63"/>
      <x:c r="W460" s="74"/>
      <x:c r="X460" s="77" t="str">
        <x:f>IF($C460="","",IFERROR(VLOOKUP($M460,'Lists &amp; Rules'!$L$5:$N$13,2,FALSE),0))</x:f>
      </x:c>
      <x:c r="Y460" s="80" t="str">
        <x:f>IF(OR($C460="",$W460=""),"",ROUND($W460*$X460,0))</x:f>
      </x:c>
      <x:c r="Z460" s="57" t="str">
        <x:f>IF($A460="","",COUNTIF('Activity Log'!$C$6:$C$1005,$A460))</x:f>
      </x:c>
      <x:c r="AA460" s="68"/>
      <x:c r="AB460" s="63"/>
    </x:row>
    <x:row r="461">
      <x:c r="A461" s="54"/>
      <x:c r="B461" s="68"/>
      <x:c r="C461" s="54"/>
      <x:c r="D461" s="54"/>
      <x:c r="E461" s="54"/>
      <x:c r="F461" s="54"/>
      <x:c r="G461" s="54"/>
      <x:c r="H461" s="54"/>
      <x:c r="I461" s="54"/>
      <x:c r="J461" s="54"/>
      <x:c r="K461" s="54"/>
      <x:c r="L461" s="54"/>
      <x:c r="M461" s="54"/>
      <x:c r="N461" s="54"/>
      <x:c r="O461" s="57" t="str">
        <x:f>IF($C461="","",MAX(0,MIN(100,IFERROR(VLOOKUP($L461,'Lists &amp; Rules'!$P$5:$Q$8,2,FALSE),0)+IFERROR(VLOOKUP($N461,'Lists &amp; Rules'!$S$5:$T$7,2,FALSE),0)+IFERROR(VLOOKUP($M461,'Lists &amp; Rules'!$L$5:$N$13,3,FALSE),0)+IF($R461="Overdue",-10,IF($R461="Today",5,0))+MIN(15,$Z461*3))))</x:f>
      </x:c>
      <x:c r="P461" s="71" t="str">
        <x:f>IF($A461="","",IF(COUNTIF('Activity Log'!$C$6:$C$1005,$A461)=0,"",MAXIFS('Activity Log'!$B$6:$B$1005,'Activity Log'!$C$6:$C$1005,$A461)))</x:f>
      </x:c>
      <x:c r="Q461" s="71" t="str">
        <x:f>IF($A461="","",IF(COUNTIFS('Activity Log'!$C$6:$C$1005,$A461,'Activity Log'!$J$6:$J$1005,"No",'Activity Log'!$I$6:$I$1005,"&gt;0")=0,"",MINIFS('Activity Log'!$I$6:$I$1005,'Activity Log'!$C$6:$C$1005,$A461,'Activity Log'!$J$6:$J$1005,"No",'Activity Log'!$I$6:$I$1005,"&gt;0")))</x:f>
      </x:c>
      <x:c r="R461" s="57" t="str">
        <x:f>IF($C461="","",IF(OR($K461="Won",$K461="Lost",$K461="Disqualified"),"Closed",IF($Q461="","No date",IF(INT($Q461)&lt;TODAY(),"Overdue",IF(INT($Q461)=TODAY(),"Today",IF(INT($Q461)&lt;=TODAY()+7,"Next 7 days","Later"))))))</x:f>
      </x:c>
      <x:c r="S461" s="57" t="str">
        <x:f>IF(OR($C461="",$P461=""),"",TODAY()-INT($P461))</x:f>
      </x:c>
      <x:c r="T461" s="54"/>
      <x:c r="U461" s="54"/>
      <x:c r="V461" s="63"/>
      <x:c r="W461" s="74"/>
      <x:c r="X461" s="77" t="str">
        <x:f>IF($C461="","",IFERROR(VLOOKUP($M461,'Lists &amp; Rules'!$L$5:$N$13,2,FALSE),0))</x:f>
      </x:c>
      <x:c r="Y461" s="80" t="str">
        <x:f>IF(OR($C461="",$W461=""),"",ROUND($W461*$X461,0))</x:f>
      </x:c>
      <x:c r="Z461" s="57" t="str">
        <x:f>IF($A461="","",COUNTIF('Activity Log'!$C$6:$C$1005,$A461))</x:f>
      </x:c>
      <x:c r="AA461" s="68"/>
      <x:c r="AB461" s="63"/>
    </x:row>
    <x:row r="462">
      <x:c r="A462" s="54"/>
      <x:c r="B462" s="68"/>
      <x:c r="C462" s="54"/>
      <x:c r="D462" s="54"/>
      <x:c r="E462" s="54"/>
      <x:c r="F462" s="54"/>
      <x:c r="G462" s="54"/>
      <x:c r="H462" s="54"/>
      <x:c r="I462" s="54"/>
      <x:c r="J462" s="54"/>
      <x:c r="K462" s="54"/>
      <x:c r="L462" s="54"/>
      <x:c r="M462" s="54"/>
      <x:c r="N462" s="54"/>
      <x:c r="O462" s="57" t="str">
        <x:f>IF($C462="","",MAX(0,MIN(100,IFERROR(VLOOKUP($L462,'Lists &amp; Rules'!$P$5:$Q$8,2,FALSE),0)+IFERROR(VLOOKUP($N462,'Lists &amp; Rules'!$S$5:$T$7,2,FALSE),0)+IFERROR(VLOOKUP($M462,'Lists &amp; Rules'!$L$5:$N$13,3,FALSE),0)+IF($R462="Overdue",-10,IF($R462="Today",5,0))+MIN(15,$Z462*3))))</x:f>
      </x:c>
      <x:c r="P462" s="71" t="str">
        <x:f>IF($A462="","",IF(COUNTIF('Activity Log'!$C$6:$C$1005,$A462)=0,"",MAXIFS('Activity Log'!$B$6:$B$1005,'Activity Log'!$C$6:$C$1005,$A462)))</x:f>
      </x:c>
      <x:c r="Q462" s="71" t="str">
        <x:f>IF($A462="","",IF(COUNTIFS('Activity Log'!$C$6:$C$1005,$A462,'Activity Log'!$J$6:$J$1005,"No",'Activity Log'!$I$6:$I$1005,"&gt;0")=0,"",MINIFS('Activity Log'!$I$6:$I$1005,'Activity Log'!$C$6:$C$1005,$A462,'Activity Log'!$J$6:$J$1005,"No",'Activity Log'!$I$6:$I$1005,"&gt;0")))</x:f>
      </x:c>
      <x:c r="R462" s="57" t="str">
        <x:f>IF($C462="","",IF(OR($K462="Won",$K462="Lost",$K462="Disqualified"),"Closed",IF($Q462="","No date",IF(INT($Q462)&lt;TODAY(),"Overdue",IF(INT($Q462)=TODAY(),"Today",IF(INT($Q462)&lt;=TODAY()+7,"Next 7 days","Later"))))))</x:f>
      </x:c>
      <x:c r="S462" s="57" t="str">
        <x:f>IF(OR($C462="",$P462=""),"",TODAY()-INT($P462))</x:f>
      </x:c>
      <x:c r="T462" s="54"/>
      <x:c r="U462" s="54"/>
      <x:c r="V462" s="63"/>
      <x:c r="W462" s="74"/>
      <x:c r="X462" s="77" t="str">
        <x:f>IF($C462="","",IFERROR(VLOOKUP($M462,'Lists &amp; Rules'!$L$5:$N$13,2,FALSE),0))</x:f>
      </x:c>
      <x:c r="Y462" s="80" t="str">
        <x:f>IF(OR($C462="",$W462=""),"",ROUND($W462*$X462,0))</x:f>
      </x:c>
      <x:c r="Z462" s="57" t="str">
        <x:f>IF($A462="","",COUNTIF('Activity Log'!$C$6:$C$1005,$A462))</x:f>
      </x:c>
      <x:c r="AA462" s="68"/>
      <x:c r="AB462" s="63"/>
    </x:row>
    <x:row r="463">
      <x:c r="A463" s="54"/>
      <x:c r="B463" s="68"/>
      <x:c r="C463" s="54"/>
      <x:c r="D463" s="54"/>
      <x:c r="E463" s="54"/>
      <x:c r="F463" s="54"/>
      <x:c r="G463" s="54"/>
      <x:c r="H463" s="54"/>
      <x:c r="I463" s="54"/>
      <x:c r="J463" s="54"/>
      <x:c r="K463" s="54"/>
      <x:c r="L463" s="54"/>
      <x:c r="M463" s="54"/>
      <x:c r="N463" s="54"/>
      <x:c r="O463" s="57" t="str">
        <x:f>IF($C463="","",MAX(0,MIN(100,IFERROR(VLOOKUP($L463,'Lists &amp; Rules'!$P$5:$Q$8,2,FALSE),0)+IFERROR(VLOOKUP($N463,'Lists &amp; Rules'!$S$5:$T$7,2,FALSE),0)+IFERROR(VLOOKUP($M463,'Lists &amp; Rules'!$L$5:$N$13,3,FALSE),0)+IF($R463="Overdue",-10,IF($R463="Today",5,0))+MIN(15,$Z463*3))))</x:f>
      </x:c>
      <x:c r="P463" s="71" t="str">
        <x:f>IF($A463="","",IF(COUNTIF('Activity Log'!$C$6:$C$1005,$A463)=0,"",MAXIFS('Activity Log'!$B$6:$B$1005,'Activity Log'!$C$6:$C$1005,$A463)))</x:f>
      </x:c>
      <x:c r="Q463" s="71" t="str">
        <x:f>IF($A463="","",IF(COUNTIFS('Activity Log'!$C$6:$C$1005,$A463,'Activity Log'!$J$6:$J$1005,"No",'Activity Log'!$I$6:$I$1005,"&gt;0")=0,"",MINIFS('Activity Log'!$I$6:$I$1005,'Activity Log'!$C$6:$C$1005,$A463,'Activity Log'!$J$6:$J$1005,"No",'Activity Log'!$I$6:$I$1005,"&gt;0")))</x:f>
      </x:c>
      <x:c r="R463" s="57" t="str">
        <x:f>IF($C463="","",IF(OR($K463="Won",$K463="Lost",$K463="Disqualified"),"Closed",IF($Q463="","No date",IF(INT($Q463)&lt;TODAY(),"Overdue",IF(INT($Q463)=TODAY(),"Today",IF(INT($Q463)&lt;=TODAY()+7,"Next 7 days","Later"))))))</x:f>
      </x:c>
      <x:c r="S463" s="57" t="str">
        <x:f>IF(OR($C463="",$P463=""),"",TODAY()-INT($P463))</x:f>
      </x:c>
      <x:c r="T463" s="54"/>
      <x:c r="U463" s="54"/>
      <x:c r="V463" s="63"/>
      <x:c r="W463" s="74"/>
      <x:c r="X463" s="77" t="str">
        <x:f>IF($C463="","",IFERROR(VLOOKUP($M463,'Lists &amp; Rules'!$L$5:$N$13,2,FALSE),0))</x:f>
      </x:c>
      <x:c r="Y463" s="80" t="str">
        <x:f>IF(OR($C463="",$W463=""),"",ROUND($W463*$X463,0))</x:f>
      </x:c>
      <x:c r="Z463" s="57" t="str">
        <x:f>IF($A463="","",COUNTIF('Activity Log'!$C$6:$C$1005,$A463))</x:f>
      </x:c>
      <x:c r="AA463" s="68"/>
      <x:c r="AB463" s="63"/>
    </x:row>
    <x:row r="464">
      <x:c r="A464" s="54"/>
      <x:c r="B464" s="68"/>
      <x:c r="C464" s="54"/>
      <x:c r="D464" s="54"/>
      <x:c r="E464" s="54"/>
      <x:c r="F464" s="54"/>
      <x:c r="G464" s="54"/>
      <x:c r="H464" s="54"/>
      <x:c r="I464" s="54"/>
      <x:c r="J464" s="54"/>
      <x:c r="K464" s="54"/>
      <x:c r="L464" s="54"/>
      <x:c r="M464" s="54"/>
      <x:c r="N464" s="54"/>
      <x:c r="O464" s="57" t="str">
        <x:f>IF($C464="","",MAX(0,MIN(100,IFERROR(VLOOKUP($L464,'Lists &amp; Rules'!$P$5:$Q$8,2,FALSE),0)+IFERROR(VLOOKUP($N464,'Lists &amp; Rules'!$S$5:$T$7,2,FALSE),0)+IFERROR(VLOOKUP($M464,'Lists &amp; Rules'!$L$5:$N$13,3,FALSE),0)+IF($R464="Overdue",-10,IF($R464="Today",5,0))+MIN(15,$Z464*3))))</x:f>
      </x:c>
      <x:c r="P464" s="71" t="str">
        <x:f>IF($A464="","",IF(COUNTIF('Activity Log'!$C$6:$C$1005,$A464)=0,"",MAXIFS('Activity Log'!$B$6:$B$1005,'Activity Log'!$C$6:$C$1005,$A464)))</x:f>
      </x:c>
      <x:c r="Q464" s="71" t="str">
        <x:f>IF($A464="","",IF(COUNTIFS('Activity Log'!$C$6:$C$1005,$A464,'Activity Log'!$J$6:$J$1005,"No",'Activity Log'!$I$6:$I$1005,"&gt;0")=0,"",MINIFS('Activity Log'!$I$6:$I$1005,'Activity Log'!$C$6:$C$1005,$A464,'Activity Log'!$J$6:$J$1005,"No",'Activity Log'!$I$6:$I$1005,"&gt;0")))</x:f>
      </x:c>
      <x:c r="R464" s="57" t="str">
        <x:f>IF($C464="","",IF(OR($K464="Won",$K464="Lost",$K464="Disqualified"),"Closed",IF($Q464="","No date",IF(INT($Q464)&lt;TODAY(),"Overdue",IF(INT($Q464)=TODAY(),"Today",IF(INT($Q464)&lt;=TODAY()+7,"Next 7 days","Later"))))))</x:f>
      </x:c>
      <x:c r="S464" s="57" t="str">
        <x:f>IF(OR($C464="",$P464=""),"",TODAY()-INT($P464))</x:f>
      </x:c>
      <x:c r="T464" s="54"/>
      <x:c r="U464" s="54"/>
      <x:c r="V464" s="63"/>
      <x:c r="W464" s="74"/>
      <x:c r="X464" s="77" t="str">
        <x:f>IF($C464="","",IFERROR(VLOOKUP($M464,'Lists &amp; Rules'!$L$5:$N$13,2,FALSE),0))</x:f>
      </x:c>
      <x:c r="Y464" s="80" t="str">
        <x:f>IF(OR($C464="",$W464=""),"",ROUND($W464*$X464,0))</x:f>
      </x:c>
      <x:c r="Z464" s="57" t="str">
        <x:f>IF($A464="","",COUNTIF('Activity Log'!$C$6:$C$1005,$A464))</x:f>
      </x:c>
      <x:c r="AA464" s="68"/>
      <x:c r="AB464" s="63"/>
    </x:row>
    <x:row r="465">
      <x:c r="A465" s="54"/>
      <x:c r="B465" s="68"/>
      <x:c r="C465" s="54"/>
      <x:c r="D465" s="54"/>
      <x:c r="E465" s="54"/>
      <x:c r="F465" s="54"/>
      <x:c r="G465" s="54"/>
      <x:c r="H465" s="54"/>
      <x:c r="I465" s="54"/>
      <x:c r="J465" s="54"/>
      <x:c r="K465" s="54"/>
      <x:c r="L465" s="54"/>
      <x:c r="M465" s="54"/>
      <x:c r="N465" s="54"/>
      <x:c r="O465" s="57" t="str">
        <x:f>IF($C465="","",MAX(0,MIN(100,IFERROR(VLOOKUP($L465,'Lists &amp; Rules'!$P$5:$Q$8,2,FALSE),0)+IFERROR(VLOOKUP($N465,'Lists &amp; Rules'!$S$5:$T$7,2,FALSE),0)+IFERROR(VLOOKUP($M465,'Lists &amp; Rules'!$L$5:$N$13,3,FALSE),0)+IF($R465="Overdue",-10,IF($R465="Today",5,0))+MIN(15,$Z465*3))))</x:f>
      </x:c>
      <x:c r="P465" s="71" t="str">
        <x:f>IF($A465="","",IF(COUNTIF('Activity Log'!$C$6:$C$1005,$A465)=0,"",MAXIFS('Activity Log'!$B$6:$B$1005,'Activity Log'!$C$6:$C$1005,$A465)))</x:f>
      </x:c>
      <x:c r="Q465" s="71" t="str">
        <x:f>IF($A465="","",IF(COUNTIFS('Activity Log'!$C$6:$C$1005,$A465,'Activity Log'!$J$6:$J$1005,"No",'Activity Log'!$I$6:$I$1005,"&gt;0")=0,"",MINIFS('Activity Log'!$I$6:$I$1005,'Activity Log'!$C$6:$C$1005,$A465,'Activity Log'!$J$6:$J$1005,"No",'Activity Log'!$I$6:$I$1005,"&gt;0")))</x:f>
      </x:c>
      <x:c r="R465" s="57" t="str">
        <x:f>IF($C465="","",IF(OR($K465="Won",$K465="Lost",$K465="Disqualified"),"Closed",IF($Q465="","No date",IF(INT($Q465)&lt;TODAY(),"Overdue",IF(INT($Q465)=TODAY(),"Today",IF(INT($Q465)&lt;=TODAY()+7,"Next 7 days","Later"))))))</x:f>
      </x:c>
      <x:c r="S465" s="57" t="str">
        <x:f>IF(OR($C465="",$P465=""),"",TODAY()-INT($P465))</x:f>
      </x:c>
      <x:c r="T465" s="54"/>
      <x:c r="U465" s="54"/>
      <x:c r="V465" s="63"/>
      <x:c r="W465" s="74"/>
      <x:c r="X465" s="77" t="str">
        <x:f>IF($C465="","",IFERROR(VLOOKUP($M465,'Lists &amp; Rules'!$L$5:$N$13,2,FALSE),0))</x:f>
      </x:c>
      <x:c r="Y465" s="80" t="str">
        <x:f>IF(OR($C465="",$W465=""),"",ROUND($W465*$X465,0))</x:f>
      </x:c>
      <x:c r="Z465" s="57" t="str">
        <x:f>IF($A465="","",COUNTIF('Activity Log'!$C$6:$C$1005,$A465))</x:f>
      </x:c>
      <x:c r="AA465" s="68"/>
      <x:c r="AB465" s="63"/>
    </x:row>
    <x:row r="466">
      <x:c r="A466" s="54"/>
      <x:c r="B466" s="68"/>
      <x:c r="C466" s="54"/>
      <x:c r="D466" s="54"/>
      <x:c r="E466" s="54"/>
      <x:c r="F466" s="54"/>
      <x:c r="G466" s="54"/>
      <x:c r="H466" s="54"/>
      <x:c r="I466" s="54"/>
      <x:c r="J466" s="54"/>
      <x:c r="K466" s="54"/>
      <x:c r="L466" s="54"/>
      <x:c r="M466" s="54"/>
      <x:c r="N466" s="54"/>
      <x:c r="O466" s="57" t="str">
        <x:f>IF($C466="","",MAX(0,MIN(100,IFERROR(VLOOKUP($L466,'Lists &amp; Rules'!$P$5:$Q$8,2,FALSE),0)+IFERROR(VLOOKUP($N466,'Lists &amp; Rules'!$S$5:$T$7,2,FALSE),0)+IFERROR(VLOOKUP($M466,'Lists &amp; Rules'!$L$5:$N$13,3,FALSE),0)+IF($R466="Overdue",-10,IF($R466="Today",5,0))+MIN(15,$Z466*3))))</x:f>
      </x:c>
      <x:c r="P466" s="71" t="str">
        <x:f>IF($A466="","",IF(COUNTIF('Activity Log'!$C$6:$C$1005,$A466)=0,"",MAXIFS('Activity Log'!$B$6:$B$1005,'Activity Log'!$C$6:$C$1005,$A466)))</x:f>
      </x:c>
      <x:c r="Q466" s="71" t="str">
        <x:f>IF($A466="","",IF(COUNTIFS('Activity Log'!$C$6:$C$1005,$A466,'Activity Log'!$J$6:$J$1005,"No",'Activity Log'!$I$6:$I$1005,"&gt;0")=0,"",MINIFS('Activity Log'!$I$6:$I$1005,'Activity Log'!$C$6:$C$1005,$A466,'Activity Log'!$J$6:$J$1005,"No",'Activity Log'!$I$6:$I$1005,"&gt;0")))</x:f>
      </x:c>
      <x:c r="R466" s="57" t="str">
        <x:f>IF($C466="","",IF(OR($K466="Won",$K466="Lost",$K466="Disqualified"),"Closed",IF($Q466="","No date",IF(INT($Q466)&lt;TODAY(),"Overdue",IF(INT($Q466)=TODAY(),"Today",IF(INT($Q466)&lt;=TODAY()+7,"Next 7 days","Later"))))))</x:f>
      </x:c>
      <x:c r="S466" s="57" t="str">
        <x:f>IF(OR($C466="",$P466=""),"",TODAY()-INT($P466))</x:f>
      </x:c>
      <x:c r="T466" s="54"/>
      <x:c r="U466" s="54"/>
      <x:c r="V466" s="63"/>
      <x:c r="W466" s="74"/>
      <x:c r="X466" s="77" t="str">
        <x:f>IF($C466="","",IFERROR(VLOOKUP($M466,'Lists &amp; Rules'!$L$5:$N$13,2,FALSE),0))</x:f>
      </x:c>
      <x:c r="Y466" s="80" t="str">
        <x:f>IF(OR($C466="",$W466=""),"",ROUND($W466*$X466,0))</x:f>
      </x:c>
      <x:c r="Z466" s="57" t="str">
        <x:f>IF($A466="","",COUNTIF('Activity Log'!$C$6:$C$1005,$A466))</x:f>
      </x:c>
      <x:c r="AA466" s="68"/>
      <x:c r="AB466" s="63"/>
    </x:row>
    <x:row r="467">
      <x:c r="A467" s="54"/>
      <x:c r="B467" s="68"/>
      <x:c r="C467" s="54"/>
      <x:c r="D467" s="54"/>
      <x:c r="E467" s="54"/>
      <x:c r="F467" s="54"/>
      <x:c r="G467" s="54"/>
      <x:c r="H467" s="54"/>
      <x:c r="I467" s="54"/>
      <x:c r="J467" s="54"/>
      <x:c r="K467" s="54"/>
      <x:c r="L467" s="54"/>
      <x:c r="M467" s="54"/>
      <x:c r="N467" s="54"/>
      <x:c r="O467" s="57" t="str">
        <x:f>IF($C467="","",MAX(0,MIN(100,IFERROR(VLOOKUP($L467,'Lists &amp; Rules'!$P$5:$Q$8,2,FALSE),0)+IFERROR(VLOOKUP($N467,'Lists &amp; Rules'!$S$5:$T$7,2,FALSE),0)+IFERROR(VLOOKUP($M467,'Lists &amp; Rules'!$L$5:$N$13,3,FALSE),0)+IF($R467="Overdue",-10,IF($R467="Today",5,0))+MIN(15,$Z467*3))))</x:f>
      </x:c>
      <x:c r="P467" s="71" t="str">
        <x:f>IF($A467="","",IF(COUNTIF('Activity Log'!$C$6:$C$1005,$A467)=0,"",MAXIFS('Activity Log'!$B$6:$B$1005,'Activity Log'!$C$6:$C$1005,$A467)))</x:f>
      </x:c>
      <x:c r="Q467" s="71" t="str">
        <x:f>IF($A467="","",IF(COUNTIFS('Activity Log'!$C$6:$C$1005,$A467,'Activity Log'!$J$6:$J$1005,"No",'Activity Log'!$I$6:$I$1005,"&gt;0")=0,"",MINIFS('Activity Log'!$I$6:$I$1005,'Activity Log'!$C$6:$C$1005,$A467,'Activity Log'!$J$6:$J$1005,"No",'Activity Log'!$I$6:$I$1005,"&gt;0")))</x:f>
      </x:c>
      <x:c r="R467" s="57" t="str">
        <x:f>IF($C467="","",IF(OR($K467="Won",$K467="Lost",$K467="Disqualified"),"Closed",IF($Q467="","No date",IF(INT($Q467)&lt;TODAY(),"Overdue",IF(INT($Q467)=TODAY(),"Today",IF(INT($Q467)&lt;=TODAY()+7,"Next 7 days","Later"))))))</x:f>
      </x:c>
      <x:c r="S467" s="57" t="str">
        <x:f>IF(OR($C467="",$P467=""),"",TODAY()-INT($P467))</x:f>
      </x:c>
      <x:c r="T467" s="54"/>
      <x:c r="U467" s="54"/>
      <x:c r="V467" s="63"/>
      <x:c r="W467" s="74"/>
      <x:c r="X467" s="77" t="str">
        <x:f>IF($C467="","",IFERROR(VLOOKUP($M467,'Lists &amp; Rules'!$L$5:$N$13,2,FALSE),0))</x:f>
      </x:c>
      <x:c r="Y467" s="80" t="str">
        <x:f>IF(OR($C467="",$W467=""),"",ROUND($W467*$X467,0))</x:f>
      </x:c>
      <x:c r="Z467" s="57" t="str">
        <x:f>IF($A467="","",COUNTIF('Activity Log'!$C$6:$C$1005,$A467))</x:f>
      </x:c>
      <x:c r="AA467" s="68"/>
      <x:c r="AB467" s="63"/>
    </x:row>
    <x:row r="468">
      <x:c r="A468" s="54"/>
      <x:c r="B468" s="68"/>
      <x:c r="C468" s="54"/>
      <x:c r="D468" s="54"/>
      <x:c r="E468" s="54"/>
      <x:c r="F468" s="54"/>
      <x:c r="G468" s="54"/>
      <x:c r="H468" s="54"/>
      <x:c r="I468" s="54"/>
      <x:c r="J468" s="54"/>
      <x:c r="K468" s="54"/>
      <x:c r="L468" s="54"/>
      <x:c r="M468" s="54"/>
      <x:c r="N468" s="54"/>
      <x:c r="O468" s="57" t="str">
        <x:f>IF($C468="","",MAX(0,MIN(100,IFERROR(VLOOKUP($L468,'Lists &amp; Rules'!$P$5:$Q$8,2,FALSE),0)+IFERROR(VLOOKUP($N468,'Lists &amp; Rules'!$S$5:$T$7,2,FALSE),0)+IFERROR(VLOOKUP($M468,'Lists &amp; Rules'!$L$5:$N$13,3,FALSE),0)+IF($R468="Overdue",-10,IF($R468="Today",5,0))+MIN(15,$Z468*3))))</x:f>
      </x:c>
      <x:c r="P468" s="71" t="str">
        <x:f>IF($A468="","",IF(COUNTIF('Activity Log'!$C$6:$C$1005,$A468)=0,"",MAXIFS('Activity Log'!$B$6:$B$1005,'Activity Log'!$C$6:$C$1005,$A468)))</x:f>
      </x:c>
      <x:c r="Q468" s="71" t="str">
        <x:f>IF($A468="","",IF(COUNTIFS('Activity Log'!$C$6:$C$1005,$A468,'Activity Log'!$J$6:$J$1005,"No",'Activity Log'!$I$6:$I$1005,"&gt;0")=0,"",MINIFS('Activity Log'!$I$6:$I$1005,'Activity Log'!$C$6:$C$1005,$A468,'Activity Log'!$J$6:$J$1005,"No",'Activity Log'!$I$6:$I$1005,"&gt;0")))</x:f>
      </x:c>
      <x:c r="R468" s="57" t="str">
        <x:f>IF($C468="","",IF(OR($K468="Won",$K468="Lost",$K468="Disqualified"),"Closed",IF($Q468="","No date",IF(INT($Q468)&lt;TODAY(),"Overdue",IF(INT($Q468)=TODAY(),"Today",IF(INT($Q468)&lt;=TODAY()+7,"Next 7 days","Later"))))))</x:f>
      </x:c>
      <x:c r="S468" s="57" t="str">
        <x:f>IF(OR($C468="",$P468=""),"",TODAY()-INT($P468))</x:f>
      </x:c>
      <x:c r="T468" s="54"/>
      <x:c r="U468" s="54"/>
      <x:c r="V468" s="63"/>
      <x:c r="W468" s="74"/>
      <x:c r="X468" s="77" t="str">
        <x:f>IF($C468="","",IFERROR(VLOOKUP($M468,'Lists &amp; Rules'!$L$5:$N$13,2,FALSE),0))</x:f>
      </x:c>
      <x:c r="Y468" s="80" t="str">
        <x:f>IF(OR($C468="",$W468=""),"",ROUND($W468*$X468,0))</x:f>
      </x:c>
      <x:c r="Z468" s="57" t="str">
        <x:f>IF($A468="","",COUNTIF('Activity Log'!$C$6:$C$1005,$A468))</x:f>
      </x:c>
      <x:c r="AA468" s="68"/>
      <x:c r="AB468" s="63"/>
    </x:row>
    <x:row r="469">
      <x:c r="A469" s="54"/>
      <x:c r="B469" s="68"/>
      <x:c r="C469" s="54"/>
      <x:c r="D469" s="54"/>
      <x:c r="E469" s="54"/>
      <x:c r="F469" s="54"/>
      <x:c r="G469" s="54"/>
      <x:c r="H469" s="54"/>
      <x:c r="I469" s="54"/>
      <x:c r="J469" s="54"/>
      <x:c r="K469" s="54"/>
      <x:c r="L469" s="54"/>
      <x:c r="M469" s="54"/>
      <x:c r="N469" s="54"/>
      <x:c r="O469" s="57" t="str">
        <x:f>IF($C469="","",MAX(0,MIN(100,IFERROR(VLOOKUP($L469,'Lists &amp; Rules'!$P$5:$Q$8,2,FALSE),0)+IFERROR(VLOOKUP($N469,'Lists &amp; Rules'!$S$5:$T$7,2,FALSE),0)+IFERROR(VLOOKUP($M469,'Lists &amp; Rules'!$L$5:$N$13,3,FALSE),0)+IF($R469="Overdue",-10,IF($R469="Today",5,0))+MIN(15,$Z469*3))))</x:f>
      </x:c>
      <x:c r="P469" s="71" t="str">
        <x:f>IF($A469="","",IF(COUNTIF('Activity Log'!$C$6:$C$1005,$A469)=0,"",MAXIFS('Activity Log'!$B$6:$B$1005,'Activity Log'!$C$6:$C$1005,$A469)))</x:f>
      </x:c>
      <x:c r="Q469" s="71" t="str">
        <x:f>IF($A469="","",IF(COUNTIFS('Activity Log'!$C$6:$C$1005,$A469,'Activity Log'!$J$6:$J$1005,"No",'Activity Log'!$I$6:$I$1005,"&gt;0")=0,"",MINIFS('Activity Log'!$I$6:$I$1005,'Activity Log'!$C$6:$C$1005,$A469,'Activity Log'!$J$6:$J$1005,"No",'Activity Log'!$I$6:$I$1005,"&gt;0")))</x:f>
      </x:c>
      <x:c r="R469" s="57" t="str">
        <x:f>IF($C469="","",IF(OR($K469="Won",$K469="Lost",$K469="Disqualified"),"Closed",IF($Q469="","No date",IF(INT($Q469)&lt;TODAY(),"Overdue",IF(INT($Q469)=TODAY(),"Today",IF(INT($Q469)&lt;=TODAY()+7,"Next 7 days","Later"))))))</x:f>
      </x:c>
      <x:c r="S469" s="57" t="str">
        <x:f>IF(OR($C469="",$P469=""),"",TODAY()-INT($P469))</x:f>
      </x:c>
      <x:c r="T469" s="54"/>
      <x:c r="U469" s="54"/>
      <x:c r="V469" s="63"/>
      <x:c r="W469" s="74"/>
      <x:c r="X469" s="77" t="str">
        <x:f>IF($C469="","",IFERROR(VLOOKUP($M469,'Lists &amp; Rules'!$L$5:$N$13,2,FALSE),0))</x:f>
      </x:c>
      <x:c r="Y469" s="80" t="str">
        <x:f>IF(OR($C469="",$W469=""),"",ROUND($W469*$X469,0))</x:f>
      </x:c>
      <x:c r="Z469" s="57" t="str">
        <x:f>IF($A469="","",COUNTIF('Activity Log'!$C$6:$C$1005,$A469))</x:f>
      </x:c>
      <x:c r="AA469" s="68"/>
      <x:c r="AB469" s="63"/>
    </x:row>
    <x:row r="470">
      <x:c r="A470" s="54"/>
      <x:c r="B470" s="68"/>
      <x:c r="C470" s="54"/>
      <x:c r="D470" s="54"/>
      <x:c r="E470" s="54"/>
      <x:c r="F470" s="54"/>
      <x:c r="G470" s="54"/>
      <x:c r="H470" s="54"/>
      <x:c r="I470" s="54"/>
      <x:c r="J470" s="54"/>
      <x:c r="K470" s="54"/>
      <x:c r="L470" s="54"/>
      <x:c r="M470" s="54"/>
      <x:c r="N470" s="54"/>
      <x:c r="O470" s="57" t="str">
        <x:f>IF($C470="","",MAX(0,MIN(100,IFERROR(VLOOKUP($L470,'Lists &amp; Rules'!$P$5:$Q$8,2,FALSE),0)+IFERROR(VLOOKUP($N470,'Lists &amp; Rules'!$S$5:$T$7,2,FALSE),0)+IFERROR(VLOOKUP($M470,'Lists &amp; Rules'!$L$5:$N$13,3,FALSE),0)+IF($R470="Overdue",-10,IF($R470="Today",5,0))+MIN(15,$Z470*3))))</x:f>
      </x:c>
      <x:c r="P470" s="71" t="str">
        <x:f>IF($A470="","",IF(COUNTIF('Activity Log'!$C$6:$C$1005,$A470)=0,"",MAXIFS('Activity Log'!$B$6:$B$1005,'Activity Log'!$C$6:$C$1005,$A470)))</x:f>
      </x:c>
      <x:c r="Q470" s="71" t="str">
        <x:f>IF($A470="","",IF(COUNTIFS('Activity Log'!$C$6:$C$1005,$A470,'Activity Log'!$J$6:$J$1005,"No",'Activity Log'!$I$6:$I$1005,"&gt;0")=0,"",MINIFS('Activity Log'!$I$6:$I$1005,'Activity Log'!$C$6:$C$1005,$A470,'Activity Log'!$J$6:$J$1005,"No",'Activity Log'!$I$6:$I$1005,"&gt;0")))</x:f>
      </x:c>
      <x:c r="R470" s="57" t="str">
        <x:f>IF($C470="","",IF(OR($K470="Won",$K470="Lost",$K470="Disqualified"),"Closed",IF($Q470="","No date",IF(INT($Q470)&lt;TODAY(),"Overdue",IF(INT($Q470)=TODAY(),"Today",IF(INT($Q470)&lt;=TODAY()+7,"Next 7 days","Later"))))))</x:f>
      </x:c>
      <x:c r="S470" s="57" t="str">
        <x:f>IF(OR($C470="",$P470=""),"",TODAY()-INT($P470))</x:f>
      </x:c>
      <x:c r="T470" s="54"/>
      <x:c r="U470" s="54"/>
      <x:c r="V470" s="63"/>
      <x:c r="W470" s="74"/>
      <x:c r="X470" s="77" t="str">
        <x:f>IF($C470="","",IFERROR(VLOOKUP($M470,'Lists &amp; Rules'!$L$5:$N$13,2,FALSE),0))</x:f>
      </x:c>
      <x:c r="Y470" s="80" t="str">
        <x:f>IF(OR($C470="",$W470=""),"",ROUND($W470*$X470,0))</x:f>
      </x:c>
      <x:c r="Z470" s="57" t="str">
        <x:f>IF($A470="","",COUNTIF('Activity Log'!$C$6:$C$1005,$A470))</x:f>
      </x:c>
      <x:c r="AA470" s="68"/>
      <x:c r="AB470" s="63"/>
    </x:row>
    <x:row r="471">
      <x:c r="A471" s="54"/>
      <x:c r="B471" s="68"/>
      <x:c r="C471" s="54"/>
      <x:c r="D471" s="54"/>
      <x:c r="E471" s="54"/>
      <x:c r="F471" s="54"/>
      <x:c r="G471" s="54"/>
      <x:c r="H471" s="54"/>
      <x:c r="I471" s="54"/>
      <x:c r="J471" s="54"/>
      <x:c r="K471" s="54"/>
      <x:c r="L471" s="54"/>
      <x:c r="M471" s="54"/>
      <x:c r="N471" s="54"/>
      <x:c r="O471" s="57" t="str">
        <x:f>IF($C471="","",MAX(0,MIN(100,IFERROR(VLOOKUP($L471,'Lists &amp; Rules'!$P$5:$Q$8,2,FALSE),0)+IFERROR(VLOOKUP($N471,'Lists &amp; Rules'!$S$5:$T$7,2,FALSE),0)+IFERROR(VLOOKUP($M471,'Lists &amp; Rules'!$L$5:$N$13,3,FALSE),0)+IF($R471="Overdue",-10,IF($R471="Today",5,0))+MIN(15,$Z471*3))))</x:f>
      </x:c>
      <x:c r="P471" s="71" t="str">
        <x:f>IF($A471="","",IF(COUNTIF('Activity Log'!$C$6:$C$1005,$A471)=0,"",MAXIFS('Activity Log'!$B$6:$B$1005,'Activity Log'!$C$6:$C$1005,$A471)))</x:f>
      </x:c>
      <x:c r="Q471" s="71" t="str">
        <x:f>IF($A471="","",IF(COUNTIFS('Activity Log'!$C$6:$C$1005,$A471,'Activity Log'!$J$6:$J$1005,"No",'Activity Log'!$I$6:$I$1005,"&gt;0")=0,"",MINIFS('Activity Log'!$I$6:$I$1005,'Activity Log'!$C$6:$C$1005,$A471,'Activity Log'!$J$6:$J$1005,"No",'Activity Log'!$I$6:$I$1005,"&gt;0")))</x:f>
      </x:c>
      <x:c r="R471" s="57" t="str">
        <x:f>IF($C471="","",IF(OR($K471="Won",$K471="Lost",$K471="Disqualified"),"Closed",IF($Q471="","No date",IF(INT($Q471)&lt;TODAY(),"Overdue",IF(INT($Q471)=TODAY(),"Today",IF(INT($Q471)&lt;=TODAY()+7,"Next 7 days","Later"))))))</x:f>
      </x:c>
      <x:c r="S471" s="57" t="str">
        <x:f>IF(OR($C471="",$P471=""),"",TODAY()-INT($P471))</x:f>
      </x:c>
      <x:c r="T471" s="54"/>
      <x:c r="U471" s="54"/>
      <x:c r="V471" s="63"/>
      <x:c r="W471" s="74"/>
      <x:c r="X471" s="77" t="str">
        <x:f>IF($C471="","",IFERROR(VLOOKUP($M471,'Lists &amp; Rules'!$L$5:$N$13,2,FALSE),0))</x:f>
      </x:c>
      <x:c r="Y471" s="80" t="str">
        <x:f>IF(OR($C471="",$W471=""),"",ROUND($W471*$X471,0))</x:f>
      </x:c>
      <x:c r="Z471" s="57" t="str">
        <x:f>IF($A471="","",COUNTIF('Activity Log'!$C$6:$C$1005,$A471))</x:f>
      </x:c>
      <x:c r="AA471" s="68"/>
      <x:c r="AB471" s="63"/>
    </x:row>
    <x:row r="472">
      <x:c r="A472" s="54"/>
      <x:c r="B472" s="68"/>
      <x:c r="C472" s="54"/>
      <x:c r="D472" s="54"/>
      <x:c r="E472" s="54"/>
      <x:c r="F472" s="54"/>
      <x:c r="G472" s="54"/>
      <x:c r="H472" s="54"/>
      <x:c r="I472" s="54"/>
      <x:c r="J472" s="54"/>
      <x:c r="K472" s="54"/>
      <x:c r="L472" s="54"/>
      <x:c r="M472" s="54"/>
      <x:c r="N472" s="54"/>
      <x:c r="O472" s="57" t="str">
        <x:f>IF($C472="","",MAX(0,MIN(100,IFERROR(VLOOKUP($L472,'Lists &amp; Rules'!$P$5:$Q$8,2,FALSE),0)+IFERROR(VLOOKUP($N472,'Lists &amp; Rules'!$S$5:$T$7,2,FALSE),0)+IFERROR(VLOOKUP($M472,'Lists &amp; Rules'!$L$5:$N$13,3,FALSE),0)+IF($R472="Overdue",-10,IF($R472="Today",5,0))+MIN(15,$Z472*3))))</x:f>
      </x:c>
      <x:c r="P472" s="71" t="str">
        <x:f>IF($A472="","",IF(COUNTIF('Activity Log'!$C$6:$C$1005,$A472)=0,"",MAXIFS('Activity Log'!$B$6:$B$1005,'Activity Log'!$C$6:$C$1005,$A472)))</x:f>
      </x:c>
      <x:c r="Q472" s="71" t="str">
        <x:f>IF($A472="","",IF(COUNTIFS('Activity Log'!$C$6:$C$1005,$A472,'Activity Log'!$J$6:$J$1005,"No",'Activity Log'!$I$6:$I$1005,"&gt;0")=0,"",MINIFS('Activity Log'!$I$6:$I$1005,'Activity Log'!$C$6:$C$1005,$A472,'Activity Log'!$J$6:$J$1005,"No",'Activity Log'!$I$6:$I$1005,"&gt;0")))</x:f>
      </x:c>
      <x:c r="R472" s="57" t="str">
        <x:f>IF($C472="","",IF(OR($K472="Won",$K472="Lost",$K472="Disqualified"),"Closed",IF($Q472="","No date",IF(INT($Q472)&lt;TODAY(),"Overdue",IF(INT($Q472)=TODAY(),"Today",IF(INT($Q472)&lt;=TODAY()+7,"Next 7 days","Later"))))))</x:f>
      </x:c>
      <x:c r="S472" s="57" t="str">
        <x:f>IF(OR($C472="",$P472=""),"",TODAY()-INT($P472))</x:f>
      </x:c>
      <x:c r="T472" s="54"/>
      <x:c r="U472" s="54"/>
      <x:c r="V472" s="63"/>
      <x:c r="W472" s="74"/>
      <x:c r="X472" s="77" t="str">
        <x:f>IF($C472="","",IFERROR(VLOOKUP($M472,'Lists &amp; Rules'!$L$5:$N$13,2,FALSE),0))</x:f>
      </x:c>
      <x:c r="Y472" s="80" t="str">
        <x:f>IF(OR($C472="",$W472=""),"",ROUND($W472*$X472,0))</x:f>
      </x:c>
      <x:c r="Z472" s="57" t="str">
        <x:f>IF($A472="","",COUNTIF('Activity Log'!$C$6:$C$1005,$A472))</x:f>
      </x:c>
      <x:c r="AA472" s="68"/>
      <x:c r="AB472" s="63"/>
    </x:row>
    <x:row r="473">
      <x:c r="A473" s="54"/>
      <x:c r="B473" s="68"/>
      <x:c r="C473" s="54"/>
      <x:c r="D473" s="54"/>
      <x:c r="E473" s="54"/>
      <x:c r="F473" s="54"/>
      <x:c r="G473" s="54"/>
      <x:c r="H473" s="54"/>
      <x:c r="I473" s="54"/>
      <x:c r="J473" s="54"/>
      <x:c r="K473" s="54"/>
      <x:c r="L473" s="54"/>
      <x:c r="M473" s="54"/>
      <x:c r="N473" s="54"/>
      <x:c r="O473" s="57" t="str">
        <x:f>IF($C473="","",MAX(0,MIN(100,IFERROR(VLOOKUP($L473,'Lists &amp; Rules'!$P$5:$Q$8,2,FALSE),0)+IFERROR(VLOOKUP($N473,'Lists &amp; Rules'!$S$5:$T$7,2,FALSE),0)+IFERROR(VLOOKUP($M473,'Lists &amp; Rules'!$L$5:$N$13,3,FALSE),0)+IF($R473="Overdue",-10,IF($R473="Today",5,0))+MIN(15,$Z473*3))))</x:f>
      </x:c>
      <x:c r="P473" s="71" t="str">
        <x:f>IF($A473="","",IF(COUNTIF('Activity Log'!$C$6:$C$1005,$A473)=0,"",MAXIFS('Activity Log'!$B$6:$B$1005,'Activity Log'!$C$6:$C$1005,$A473)))</x:f>
      </x:c>
      <x:c r="Q473" s="71" t="str">
        <x:f>IF($A473="","",IF(COUNTIFS('Activity Log'!$C$6:$C$1005,$A473,'Activity Log'!$J$6:$J$1005,"No",'Activity Log'!$I$6:$I$1005,"&gt;0")=0,"",MINIFS('Activity Log'!$I$6:$I$1005,'Activity Log'!$C$6:$C$1005,$A473,'Activity Log'!$J$6:$J$1005,"No",'Activity Log'!$I$6:$I$1005,"&gt;0")))</x:f>
      </x:c>
      <x:c r="R473" s="57" t="str">
        <x:f>IF($C473="","",IF(OR($K473="Won",$K473="Lost",$K473="Disqualified"),"Closed",IF($Q473="","No date",IF(INT($Q473)&lt;TODAY(),"Overdue",IF(INT($Q473)=TODAY(),"Today",IF(INT($Q473)&lt;=TODAY()+7,"Next 7 days","Later"))))))</x:f>
      </x:c>
      <x:c r="S473" s="57" t="str">
        <x:f>IF(OR($C473="",$P473=""),"",TODAY()-INT($P473))</x:f>
      </x:c>
      <x:c r="T473" s="54"/>
      <x:c r="U473" s="54"/>
      <x:c r="V473" s="63"/>
      <x:c r="W473" s="74"/>
      <x:c r="X473" s="77" t="str">
        <x:f>IF($C473="","",IFERROR(VLOOKUP($M473,'Lists &amp; Rules'!$L$5:$N$13,2,FALSE),0))</x:f>
      </x:c>
      <x:c r="Y473" s="80" t="str">
        <x:f>IF(OR($C473="",$W473=""),"",ROUND($W473*$X473,0))</x:f>
      </x:c>
      <x:c r="Z473" s="57" t="str">
        <x:f>IF($A473="","",COUNTIF('Activity Log'!$C$6:$C$1005,$A473))</x:f>
      </x:c>
      <x:c r="AA473" s="68"/>
      <x:c r="AB473" s="63"/>
    </x:row>
    <x:row r="474">
      <x:c r="A474" s="54"/>
      <x:c r="B474" s="68"/>
      <x:c r="C474" s="54"/>
      <x:c r="D474" s="54"/>
      <x:c r="E474" s="54"/>
      <x:c r="F474" s="54"/>
      <x:c r="G474" s="54"/>
      <x:c r="H474" s="54"/>
      <x:c r="I474" s="54"/>
      <x:c r="J474" s="54"/>
      <x:c r="K474" s="54"/>
      <x:c r="L474" s="54"/>
      <x:c r="M474" s="54"/>
      <x:c r="N474" s="54"/>
      <x:c r="O474" s="57" t="str">
        <x:f>IF($C474="","",MAX(0,MIN(100,IFERROR(VLOOKUP($L474,'Lists &amp; Rules'!$P$5:$Q$8,2,FALSE),0)+IFERROR(VLOOKUP($N474,'Lists &amp; Rules'!$S$5:$T$7,2,FALSE),0)+IFERROR(VLOOKUP($M474,'Lists &amp; Rules'!$L$5:$N$13,3,FALSE),0)+IF($R474="Overdue",-10,IF($R474="Today",5,0))+MIN(15,$Z474*3))))</x:f>
      </x:c>
      <x:c r="P474" s="71" t="str">
        <x:f>IF($A474="","",IF(COUNTIF('Activity Log'!$C$6:$C$1005,$A474)=0,"",MAXIFS('Activity Log'!$B$6:$B$1005,'Activity Log'!$C$6:$C$1005,$A474)))</x:f>
      </x:c>
      <x:c r="Q474" s="71" t="str">
        <x:f>IF($A474="","",IF(COUNTIFS('Activity Log'!$C$6:$C$1005,$A474,'Activity Log'!$J$6:$J$1005,"No",'Activity Log'!$I$6:$I$1005,"&gt;0")=0,"",MINIFS('Activity Log'!$I$6:$I$1005,'Activity Log'!$C$6:$C$1005,$A474,'Activity Log'!$J$6:$J$1005,"No",'Activity Log'!$I$6:$I$1005,"&gt;0")))</x:f>
      </x:c>
      <x:c r="R474" s="57" t="str">
        <x:f>IF($C474="","",IF(OR($K474="Won",$K474="Lost",$K474="Disqualified"),"Closed",IF($Q474="","No date",IF(INT($Q474)&lt;TODAY(),"Overdue",IF(INT($Q474)=TODAY(),"Today",IF(INT($Q474)&lt;=TODAY()+7,"Next 7 days","Later"))))))</x:f>
      </x:c>
      <x:c r="S474" s="57" t="str">
        <x:f>IF(OR($C474="",$P474=""),"",TODAY()-INT($P474))</x:f>
      </x:c>
      <x:c r="T474" s="54"/>
      <x:c r="U474" s="54"/>
      <x:c r="V474" s="63"/>
      <x:c r="W474" s="74"/>
      <x:c r="X474" s="77" t="str">
        <x:f>IF($C474="","",IFERROR(VLOOKUP($M474,'Lists &amp; Rules'!$L$5:$N$13,2,FALSE),0))</x:f>
      </x:c>
      <x:c r="Y474" s="80" t="str">
        <x:f>IF(OR($C474="",$W474=""),"",ROUND($W474*$X474,0))</x:f>
      </x:c>
      <x:c r="Z474" s="57" t="str">
        <x:f>IF($A474="","",COUNTIF('Activity Log'!$C$6:$C$1005,$A474))</x:f>
      </x:c>
      <x:c r="AA474" s="68"/>
      <x:c r="AB474" s="63"/>
    </x:row>
    <x:row r="475">
      <x:c r="A475" s="54"/>
      <x:c r="B475" s="68"/>
      <x:c r="C475" s="54"/>
      <x:c r="D475" s="54"/>
      <x:c r="E475" s="54"/>
      <x:c r="F475" s="54"/>
      <x:c r="G475" s="54"/>
      <x:c r="H475" s="54"/>
      <x:c r="I475" s="54"/>
      <x:c r="J475" s="54"/>
      <x:c r="K475" s="54"/>
      <x:c r="L475" s="54"/>
      <x:c r="M475" s="54"/>
      <x:c r="N475" s="54"/>
      <x:c r="O475" s="57" t="str">
        <x:f>IF($C475="","",MAX(0,MIN(100,IFERROR(VLOOKUP($L475,'Lists &amp; Rules'!$P$5:$Q$8,2,FALSE),0)+IFERROR(VLOOKUP($N475,'Lists &amp; Rules'!$S$5:$T$7,2,FALSE),0)+IFERROR(VLOOKUP($M475,'Lists &amp; Rules'!$L$5:$N$13,3,FALSE),0)+IF($R475="Overdue",-10,IF($R475="Today",5,0))+MIN(15,$Z475*3))))</x:f>
      </x:c>
      <x:c r="P475" s="71" t="str">
        <x:f>IF($A475="","",IF(COUNTIF('Activity Log'!$C$6:$C$1005,$A475)=0,"",MAXIFS('Activity Log'!$B$6:$B$1005,'Activity Log'!$C$6:$C$1005,$A475)))</x:f>
      </x:c>
      <x:c r="Q475" s="71" t="str">
        <x:f>IF($A475="","",IF(COUNTIFS('Activity Log'!$C$6:$C$1005,$A475,'Activity Log'!$J$6:$J$1005,"No",'Activity Log'!$I$6:$I$1005,"&gt;0")=0,"",MINIFS('Activity Log'!$I$6:$I$1005,'Activity Log'!$C$6:$C$1005,$A475,'Activity Log'!$J$6:$J$1005,"No",'Activity Log'!$I$6:$I$1005,"&gt;0")))</x:f>
      </x:c>
      <x:c r="R475" s="57" t="str">
        <x:f>IF($C475="","",IF(OR($K475="Won",$K475="Lost",$K475="Disqualified"),"Closed",IF($Q475="","No date",IF(INT($Q475)&lt;TODAY(),"Overdue",IF(INT($Q475)=TODAY(),"Today",IF(INT($Q475)&lt;=TODAY()+7,"Next 7 days","Later"))))))</x:f>
      </x:c>
      <x:c r="S475" s="57" t="str">
        <x:f>IF(OR($C475="",$P475=""),"",TODAY()-INT($P475))</x:f>
      </x:c>
      <x:c r="T475" s="54"/>
      <x:c r="U475" s="54"/>
      <x:c r="V475" s="63"/>
      <x:c r="W475" s="74"/>
      <x:c r="X475" s="77" t="str">
        <x:f>IF($C475="","",IFERROR(VLOOKUP($M475,'Lists &amp; Rules'!$L$5:$N$13,2,FALSE),0))</x:f>
      </x:c>
      <x:c r="Y475" s="80" t="str">
        <x:f>IF(OR($C475="",$W475=""),"",ROUND($W475*$X475,0))</x:f>
      </x:c>
      <x:c r="Z475" s="57" t="str">
        <x:f>IF($A475="","",COUNTIF('Activity Log'!$C$6:$C$1005,$A475))</x:f>
      </x:c>
      <x:c r="AA475" s="68"/>
      <x:c r="AB475" s="63"/>
    </x:row>
    <x:row r="476">
      <x:c r="A476" s="54"/>
      <x:c r="B476" s="68"/>
      <x:c r="C476" s="54"/>
      <x:c r="D476" s="54"/>
      <x:c r="E476" s="54"/>
      <x:c r="F476" s="54"/>
      <x:c r="G476" s="54"/>
      <x:c r="H476" s="54"/>
      <x:c r="I476" s="54"/>
      <x:c r="J476" s="54"/>
      <x:c r="K476" s="54"/>
      <x:c r="L476" s="54"/>
      <x:c r="M476" s="54"/>
      <x:c r="N476" s="54"/>
      <x:c r="O476" s="57" t="str">
        <x:f>IF($C476="","",MAX(0,MIN(100,IFERROR(VLOOKUP($L476,'Lists &amp; Rules'!$P$5:$Q$8,2,FALSE),0)+IFERROR(VLOOKUP($N476,'Lists &amp; Rules'!$S$5:$T$7,2,FALSE),0)+IFERROR(VLOOKUP($M476,'Lists &amp; Rules'!$L$5:$N$13,3,FALSE),0)+IF($R476="Overdue",-10,IF($R476="Today",5,0))+MIN(15,$Z476*3))))</x:f>
      </x:c>
      <x:c r="P476" s="71" t="str">
        <x:f>IF($A476="","",IF(COUNTIF('Activity Log'!$C$6:$C$1005,$A476)=0,"",MAXIFS('Activity Log'!$B$6:$B$1005,'Activity Log'!$C$6:$C$1005,$A476)))</x:f>
      </x:c>
      <x:c r="Q476" s="71" t="str">
        <x:f>IF($A476="","",IF(COUNTIFS('Activity Log'!$C$6:$C$1005,$A476,'Activity Log'!$J$6:$J$1005,"No",'Activity Log'!$I$6:$I$1005,"&gt;0")=0,"",MINIFS('Activity Log'!$I$6:$I$1005,'Activity Log'!$C$6:$C$1005,$A476,'Activity Log'!$J$6:$J$1005,"No",'Activity Log'!$I$6:$I$1005,"&gt;0")))</x:f>
      </x:c>
      <x:c r="R476" s="57" t="str">
        <x:f>IF($C476="","",IF(OR($K476="Won",$K476="Lost",$K476="Disqualified"),"Closed",IF($Q476="","No date",IF(INT($Q476)&lt;TODAY(),"Overdue",IF(INT($Q476)=TODAY(),"Today",IF(INT($Q476)&lt;=TODAY()+7,"Next 7 days","Later"))))))</x:f>
      </x:c>
      <x:c r="S476" s="57" t="str">
        <x:f>IF(OR($C476="",$P476=""),"",TODAY()-INT($P476))</x:f>
      </x:c>
      <x:c r="T476" s="54"/>
      <x:c r="U476" s="54"/>
      <x:c r="V476" s="63"/>
      <x:c r="W476" s="74"/>
      <x:c r="X476" s="77" t="str">
        <x:f>IF($C476="","",IFERROR(VLOOKUP($M476,'Lists &amp; Rules'!$L$5:$N$13,2,FALSE),0))</x:f>
      </x:c>
      <x:c r="Y476" s="80" t="str">
        <x:f>IF(OR($C476="",$W476=""),"",ROUND($W476*$X476,0))</x:f>
      </x:c>
      <x:c r="Z476" s="57" t="str">
        <x:f>IF($A476="","",COUNTIF('Activity Log'!$C$6:$C$1005,$A476))</x:f>
      </x:c>
      <x:c r="AA476" s="68"/>
      <x:c r="AB476" s="63"/>
    </x:row>
    <x:row r="477">
      <x:c r="A477" s="54"/>
      <x:c r="B477" s="68"/>
      <x:c r="C477" s="54"/>
      <x:c r="D477" s="54"/>
      <x:c r="E477" s="54"/>
      <x:c r="F477" s="54"/>
      <x:c r="G477" s="54"/>
      <x:c r="H477" s="54"/>
      <x:c r="I477" s="54"/>
      <x:c r="J477" s="54"/>
      <x:c r="K477" s="54"/>
      <x:c r="L477" s="54"/>
      <x:c r="M477" s="54"/>
      <x:c r="N477" s="54"/>
      <x:c r="O477" s="57" t="str">
        <x:f>IF($C477="","",MAX(0,MIN(100,IFERROR(VLOOKUP($L477,'Lists &amp; Rules'!$P$5:$Q$8,2,FALSE),0)+IFERROR(VLOOKUP($N477,'Lists &amp; Rules'!$S$5:$T$7,2,FALSE),0)+IFERROR(VLOOKUP($M477,'Lists &amp; Rules'!$L$5:$N$13,3,FALSE),0)+IF($R477="Overdue",-10,IF($R477="Today",5,0))+MIN(15,$Z477*3))))</x:f>
      </x:c>
      <x:c r="P477" s="71" t="str">
        <x:f>IF($A477="","",IF(COUNTIF('Activity Log'!$C$6:$C$1005,$A477)=0,"",MAXIFS('Activity Log'!$B$6:$B$1005,'Activity Log'!$C$6:$C$1005,$A477)))</x:f>
      </x:c>
      <x:c r="Q477" s="71" t="str">
        <x:f>IF($A477="","",IF(COUNTIFS('Activity Log'!$C$6:$C$1005,$A477,'Activity Log'!$J$6:$J$1005,"No",'Activity Log'!$I$6:$I$1005,"&gt;0")=0,"",MINIFS('Activity Log'!$I$6:$I$1005,'Activity Log'!$C$6:$C$1005,$A477,'Activity Log'!$J$6:$J$1005,"No",'Activity Log'!$I$6:$I$1005,"&gt;0")))</x:f>
      </x:c>
      <x:c r="R477" s="57" t="str">
        <x:f>IF($C477="","",IF(OR($K477="Won",$K477="Lost",$K477="Disqualified"),"Closed",IF($Q477="","No date",IF(INT($Q477)&lt;TODAY(),"Overdue",IF(INT($Q477)=TODAY(),"Today",IF(INT($Q477)&lt;=TODAY()+7,"Next 7 days","Later"))))))</x:f>
      </x:c>
      <x:c r="S477" s="57" t="str">
        <x:f>IF(OR($C477="",$P477=""),"",TODAY()-INT($P477))</x:f>
      </x:c>
      <x:c r="T477" s="54"/>
      <x:c r="U477" s="54"/>
      <x:c r="V477" s="63"/>
      <x:c r="W477" s="74"/>
      <x:c r="X477" s="77" t="str">
        <x:f>IF($C477="","",IFERROR(VLOOKUP($M477,'Lists &amp; Rules'!$L$5:$N$13,2,FALSE),0))</x:f>
      </x:c>
      <x:c r="Y477" s="80" t="str">
        <x:f>IF(OR($C477="",$W477=""),"",ROUND($W477*$X477,0))</x:f>
      </x:c>
      <x:c r="Z477" s="57" t="str">
        <x:f>IF($A477="","",COUNTIF('Activity Log'!$C$6:$C$1005,$A477))</x:f>
      </x:c>
      <x:c r="AA477" s="68"/>
      <x:c r="AB477" s="63"/>
    </x:row>
    <x:row r="478">
      <x:c r="A478" s="54"/>
      <x:c r="B478" s="68"/>
      <x:c r="C478" s="54"/>
      <x:c r="D478" s="54"/>
      <x:c r="E478" s="54"/>
      <x:c r="F478" s="54"/>
      <x:c r="G478" s="54"/>
      <x:c r="H478" s="54"/>
      <x:c r="I478" s="54"/>
      <x:c r="J478" s="54"/>
      <x:c r="K478" s="54"/>
      <x:c r="L478" s="54"/>
      <x:c r="M478" s="54"/>
      <x:c r="N478" s="54"/>
      <x:c r="O478" s="57" t="str">
        <x:f>IF($C478="","",MAX(0,MIN(100,IFERROR(VLOOKUP($L478,'Lists &amp; Rules'!$P$5:$Q$8,2,FALSE),0)+IFERROR(VLOOKUP($N478,'Lists &amp; Rules'!$S$5:$T$7,2,FALSE),0)+IFERROR(VLOOKUP($M478,'Lists &amp; Rules'!$L$5:$N$13,3,FALSE),0)+IF($R478="Overdue",-10,IF($R478="Today",5,0))+MIN(15,$Z478*3))))</x:f>
      </x:c>
      <x:c r="P478" s="71" t="str">
        <x:f>IF($A478="","",IF(COUNTIF('Activity Log'!$C$6:$C$1005,$A478)=0,"",MAXIFS('Activity Log'!$B$6:$B$1005,'Activity Log'!$C$6:$C$1005,$A478)))</x:f>
      </x:c>
      <x:c r="Q478" s="71" t="str">
        <x:f>IF($A478="","",IF(COUNTIFS('Activity Log'!$C$6:$C$1005,$A478,'Activity Log'!$J$6:$J$1005,"No",'Activity Log'!$I$6:$I$1005,"&gt;0")=0,"",MINIFS('Activity Log'!$I$6:$I$1005,'Activity Log'!$C$6:$C$1005,$A478,'Activity Log'!$J$6:$J$1005,"No",'Activity Log'!$I$6:$I$1005,"&gt;0")))</x:f>
      </x:c>
      <x:c r="R478" s="57" t="str">
        <x:f>IF($C478="","",IF(OR($K478="Won",$K478="Lost",$K478="Disqualified"),"Closed",IF($Q478="","No date",IF(INT($Q478)&lt;TODAY(),"Overdue",IF(INT($Q478)=TODAY(),"Today",IF(INT($Q478)&lt;=TODAY()+7,"Next 7 days","Later"))))))</x:f>
      </x:c>
      <x:c r="S478" s="57" t="str">
        <x:f>IF(OR($C478="",$P478=""),"",TODAY()-INT($P478))</x:f>
      </x:c>
      <x:c r="T478" s="54"/>
      <x:c r="U478" s="54"/>
      <x:c r="V478" s="63"/>
      <x:c r="W478" s="74"/>
      <x:c r="X478" s="77" t="str">
        <x:f>IF($C478="","",IFERROR(VLOOKUP($M478,'Lists &amp; Rules'!$L$5:$N$13,2,FALSE),0))</x:f>
      </x:c>
      <x:c r="Y478" s="80" t="str">
        <x:f>IF(OR($C478="",$W478=""),"",ROUND($W478*$X478,0))</x:f>
      </x:c>
      <x:c r="Z478" s="57" t="str">
        <x:f>IF($A478="","",COUNTIF('Activity Log'!$C$6:$C$1005,$A478))</x:f>
      </x:c>
      <x:c r="AA478" s="68"/>
      <x:c r="AB478" s="63"/>
    </x:row>
    <x:row r="479">
      <x:c r="A479" s="54"/>
      <x:c r="B479" s="68"/>
      <x:c r="C479" s="54"/>
      <x:c r="D479" s="54"/>
      <x:c r="E479" s="54"/>
      <x:c r="F479" s="54"/>
      <x:c r="G479" s="54"/>
      <x:c r="H479" s="54"/>
      <x:c r="I479" s="54"/>
      <x:c r="J479" s="54"/>
      <x:c r="K479" s="54"/>
      <x:c r="L479" s="54"/>
      <x:c r="M479" s="54"/>
      <x:c r="N479" s="54"/>
      <x:c r="O479" s="57" t="str">
        <x:f>IF($C479="","",MAX(0,MIN(100,IFERROR(VLOOKUP($L479,'Lists &amp; Rules'!$P$5:$Q$8,2,FALSE),0)+IFERROR(VLOOKUP($N479,'Lists &amp; Rules'!$S$5:$T$7,2,FALSE),0)+IFERROR(VLOOKUP($M479,'Lists &amp; Rules'!$L$5:$N$13,3,FALSE),0)+IF($R479="Overdue",-10,IF($R479="Today",5,0))+MIN(15,$Z479*3))))</x:f>
      </x:c>
      <x:c r="P479" s="71" t="str">
        <x:f>IF($A479="","",IF(COUNTIF('Activity Log'!$C$6:$C$1005,$A479)=0,"",MAXIFS('Activity Log'!$B$6:$B$1005,'Activity Log'!$C$6:$C$1005,$A479)))</x:f>
      </x:c>
      <x:c r="Q479" s="71" t="str">
        <x:f>IF($A479="","",IF(COUNTIFS('Activity Log'!$C$6:$C$1005,$A479,'Activity Log'!$J$6:$J$1005,"No",'Activity Log'!$I$6:$I$1005,"&gt;0")=0,"",MINIFS('Activity Log'!$I$6:$I$1005,'Activity Log'!$C$6:$C$1005,$A479,'Activity Log'!$J$6:$J$1005,"No",'Activity Log'!$I$6:$I$1005,"&gt;0")))</x:f>
      </x:c>
      <x:c r="R479" s="57" t="str">
        <x:f>IF($C479="","",IF(OR($K479="Won",$K479="Lost",$K479="Disqualified"),"Closed",IF($Q479="","No date",IF(INT($Q479)&lt;TODAY(),"Overdue",IF(INT($Q479)=TODAY(),"Today",IF(INT($Q479)&lt;=TODAY()+7,"Next 7 days","Later"))))))</x:f>
      </x:c>
      <x:c r="S479" s="57" t="str">
        <x:f>IF(OR($C479="",$P479=""),"",TODAY()-INT($P479))</x:f>
      </x:c>
      <x:c r="T479" s="54"/>
      <x:c r="U479" s="54"/>
      <x:c r="V479" s="63"/>
      <x:c r="W479" s="74"/>
      <x:c r="X479" s="77" t="str">
        <x:f>IF($C479="","",IFERROR(VLOOKUP($M479,'Lists &amp; Rules'!$L$5:$N$13,2,FALSE),0))</x:f>
      </x:c>
      <x:c r="Y479" s="80" t="str">
        <x:f>IF(OR($C479="",$W479=""),"",ROUND($W479*$X479,0))</x:f>
      </x:c>
      <x:c r="Z479" s="57" t="str">
        <x:f>IF($A479="","",COUNTIF('Activity Log'!$C$6:$C$1005,$A479))</x:f>
      </x:c>
      <x:c r="AA479" s="68"/>
      <x:c r="AB479" s="63"/>
    </x:row>
    <x:row r="480">
      <x:c r="A480" s="54"/>
      <x:c r="B480" s="68"/>
      <x:c r="C480" s="54"/>
      <x:c r="D480" s="54"/>
      <x:c r="E480" s="54"/>
      <x:c r="F480" s="54"/>
      <x:c r="G480" s="54"/>
      <x:c r="H480" s="54"/>
      <x:c r="I480" s="54"/>
      <x:c r="J480" s="54"/>
      <x:c r="K480" s="54"/>
      <x:c r="L480" s="54"/>
      <x:c r="M480" s="54"/>
      <x:c r="N480" s="54"/>
      <x:c r="O480" s="57" t="str">
        <x:f>IF($C480="","",MAX(0,MIN(100,IFERROR(VLOOKUP($L480,'Lists &amp; Rules'!$P$5:$Q$8,2,FALSE),0)+IFERROR(VLOOKUP($N480,'Lists &amp; Rules'!$S$5:$T$7,2,FALSE),0)+IFERROR(VLOOKUP($M480,'Lists &amp; Rules'!$L$5:$N$13,3,FALSE),0)+IF($R480="Overdue",-10,IF($R480="Today",5,0))+MIN(15,$Z480*3))))</x:f>
      </x:c>
      <x:c r="P480" s="71" t="str">
        <x:f>IF($A480="","",IF(COUNTIF('Activity Log'!$C$6:$C$1005,$A480)=0,"",MAXIFS('Activity Log'!$B$6:$B$1005,'Activity Log'!$C$6:$C$1005,$A480)))</x:f>
      </x:c>
      <x:c r="Q480" s="71" t="str">
        <x:f>IF($A480="","",IF(COUNTIFS('Activity Log'!$C$6:$C$1005,$A480,'Activity Log'!$J$6:$J$1005,"No",'Activity Log'!$I$6:$I$1005,"&gt;0")=0,"",MINIFS('Activity Log'!$I$6:$I$1005,'Activity Log'!$C$6:$C$1005,$A480,'Activity Log'!$J$6:$J$1005,"No",'Activity Log'!$I$6:$I$1005,"&gt;0")))</x:f>
      </x:c>
      <x:c r="R480" s="57" t="str">
        <x:f>IF($C480="","",IF(OR($K480="Won",$K480="Lost",$K480="Disqualified"),"Closed",IF($Q480="","No date",IF(INT($Q480)&lt;TODAY(),"Overdue",IF(INT($Q480)=TODAY(),"Today",IF(INT($Q480)&lt;=TODAY()+7,"Next 7 days","Later"))))))</x:f>
      </x:c>
      <x:c r="S480" s="57" t="str">
        <x:f>IF(OR($C480="",$P480=""),"",TODAY()-INT($P480))</x:f>
      </x:c>
      <x:c r="T480" s="54"/>
      <x:c r="U480" s="54"/>
      <x:c r="V480" s="63"/>
      <x:c r="W480" s="74"/>
      <x:c r="X480" s="77" t="str">
        <x:f>IF($C480="","",IFERROR(VLOOKUP($M480,'Lists &amp; Rules'!$L$5:$N$13,2,FALSE),0))</x:f>
      </x:c>
      <x:c r="Y480" s="80" t="str">
        <x:f>IF(OR($C480="",$W480=""),"",ROUND($W480*$X480,0))</x:f>
      </x:c>
      <x:c r="Z480" s="57" t="str">
        <x:f>IF($A480="","",COUNTIF('Activity Log'!$C$6:$C$1005,$A480))</x:f>
      </x:c>
      <x:c r="AA480" s="68"/>
      <x:c r="AB480" s="63"/>
    </x:row>
    <x:row r="481">
      <x:c r="A481" s="54"/>
      <x:c r="B481" s="68"/>
      <x:c r="C481" s="54"/>
      <x:c r="D481" s="54"/>
      <x:c r="E481" s="54"/>
      <x:c r="F481" s="54"/>
      <x:c r="G481" s="54"/>
      <x:c r="H481" s="54"/>
      <x:c r="I481" s="54"/>
      <x:c r="J481" s="54"/>
      <x:c r="K481" s="54"/>
      <x:c r="L481" s="54"/>
      <x:c r="M481" s="54"/>
      <x:c r="N481" s="54"/>
      <x:c r="O481" s="57" t="str">
        <x:f>IF($C481="","",MAX(0,MIN(100,IFERROR(VLOOKUP($L481,'Lists &amp; Rules'!$P$5:$Q$8,2,FALSE),0)+IFERROR(VLOOKUP($N481,'Lists &amp; Rules'!$S$5:$T$7,2,FALSE),0)+IFERROR(VLOOKUP($M481,'Lists &amp; Rules'!$L$5:$N$13,3,FALSE),0)+IF($R481="Overdue",-10,IF($R481="Today",5,0))+MIN(15,$Z481*3))))</x:f>
      </x:c>
      <x:c r="P481" s="71" t="str">
        <x:f>IF($A481="","",IF(COUNTIF('Activity Log'!$C$6:$C$1005,$A481)=0,"",MAXIFS('Activity Log'!$B$6:$B$1005,'Activity Log'!$C$6:$C$1005,$A481)))</x:f>
      </x:c>
      <x:c r="Q481" s="71" t="str">
        <x:f>IF($A481="","",IF(COUNTIFS('Activity Log'!$C$6:$C$1005,$A481,'Activity Log'!$J$6:$J$1005,"No",'Activity Log'!$I$6:$I$1005,"&gt;0")=0,"",MINIFS('Activity Log'!$I$6:$I$1005,'Activity Log'!$C$6:$C$1005,$A481,'Activity Log'!$J$6:$J$1005,"No",'Activity Log'!$I$6:$I$1005,"&gt;0")))</x:f>
      </x:c>
      <x:c r="R481" s="57" t="str">
        <x:f>IF($C481="","",IF(OR($K481="Won",$K481="Lost",$K481="Disqualified"),"Closed",IF($Q481="","No date",IF(INT($Q481)&lt;TODAY(),"Overdue",IF(INT($Q481)=TODAY(),"Today",IF(INT($Q481)&lt;=TODAY()+7,"Next 7 days","Later"))))))</x:f>
      </x:c>
      <x:c r="S481" s="57" t="str">
        <x:f>IF(OR($C481="",$P481=""),"",TODAY()-INT($P481))</x:f>
      </x:c>
      <x:c r="T481" s="54"/>
      <x:c r="U481" s="54"/>
      <x:c r="V481" s="63"/>
      <x:c r="W481" s="74"/>
      <x:c r="X481" s="77" t="str">
        <x:f>IF($C481="","",IFERROR(VLOOKUP($M481,'Lists &amp; Rules'!$L$5:$N$13,2,FALSE),0))</x:f>
      </x:c>
      <x:c r="Y481" s="80" t="str">
        <x:f>IF(OR($C481="",$W481=""),"",ROUND($W481*$X481,0))</x:f>
      </x:c>
      <x:c r="Z481" s="57" t="str">
        <x:f>IF($A481="","",COUNTIF('Activity Log'!$C$6:$C$1005,$A481))</x:f>
      </x:c>
      <x:c r="AA481" s="68"/>
      <x:c r="AB481" s="63"/>
    </x:row>
    <x:row r="482">
      <x:c r="A482" s="54"/>
      <x:c r="B482" s="68"/>
      <x:c r="C482" s="54"/>
      <x:c r="D482" s="54"/>
      <x:c r="E482" s="54"/>
      <x:c r="F482" s="54"/>
      <x:c r="G482" s="54"/>
      <x:c r="H482" s="54"/>
      <x:c r="I482" s="54"/>
      <x:c r="J482" s="54"/>
      <x:c r="K482" s="54"/>
      <x:c r="L482" s="54"/>
      <x:c r="M482" s="54"/>
      <x:c r="N482" s="54"/>
      <x:c r="O482" s="57" t="str">
        <x:f>IF($C482="","",MAX(0,MIN(100,IFERROR(VLOOKUP($L482,'Lists &amp; Rules'!$P$5:$Q$8,2,FALSE),0)+IFERROR(VLOOKUP($N482,'Lists &amp; Rules'!$S$5:$T$7,2,FALSE),0)+IFERROR(VLOOKUP($M482,'Lists &amp; Rules'!$L$5:$N$13,3,FALSE),0)+IF($R482="Overdue",-10,IF($R482="Today",5,0))+MIN(15,$Z482*3))))</x:f>
      </x:c>
      <x:c r="P482" s="71" t="str">
        <x:f>IF($A482="","",IF(COUNTIF('Activity Log'!$C$6:$C$1005,$A482)=0,"",MAXIFS('Activity Log'!$B$6:$B$1005,'Activity Log'!$C$6:$C$1005,$A482)))</x:f>
      </x:c>
      <x:c r="Q482" s="71" t="str">
        <x:f>IF($A482="","",IF(COUNTIFS('Activity Log'!$C$6:$C$1005,$A482,'Activity Log'!$J$6:$J$1005,"No",'Activity Log'!$I$6:$I$1005,"&gt;0")=0,"",MINIFS('Activity Log'!$I$6:$I$1005,'Activity Log'!$C$6:$C$1005,$A482,'Activity Log'!$J$6:$J$1005,"No",'Activity Log'!$I$6:$I$1005,"&gt;0")))</x:f>
      </x:c>
      <x:c r="R482" s="57" t="str">
        <x:f>IF($C482="","",IF(OR($K482="Won",$K482="Lost",$K482="Disqualified"),"Closed",IF($Q482="","No date",IF(INT($Q482)&lt;TODAY(),"Overdue",IF(INT($Q482)=TODAY(),"Today",IF(INT($Q482)&lt;=TODAY()+7,"Next 7 days","Later"))))))</x:f>
      </x:c>
      <x:c r="S482" s="57" t="str">
        <x:f>IF(OR($C482="",$P482=""),"",TODAY()-INT($P482))</x:f>
      </x:c>
      <x:c r="T482" s="54"/>
      <x:c r="U482" s="54"/>
      <x:c r="V482" s="63"/>
      <x:c r="W482" s="74"/>
      <x:c r="X482" s="77" t="str">
        <x:f>IF($C482="","",IFERROR(VLOOKUP($M482,'Lists &amp; Rules'!$L$5:$N$13,2,FALSE),0))</x:f>
      </x:c>
      <x:c r="Y482" s="80" t="str">
        <x:f>IF(OR($C482="",$W482=""),"",ROUND($W482*$X482,0))</x:f>
      </x:c>
      <x:c r="Z482" s="57" t="str">
        <x:f>IF($A482="","",COUNTIF('Activity Log'!$C$6:$C$1005,$A482))</x:f>
      </x:c>
      <x:c r="AA482" s="68"/>
      <x:c r="AB482" s="63"/>
    </x:row>
    <x:row r="483">
      <x:c r="A483" s="54"/>
      <x:c r="B483" s="68"/>
      <x:c r="C483" s="54"/>
      <x:c r="D483" s="54"/>
      <x:c r="E483" s="54"/>
      <x:c r="F483" s="54"/>
      <x:c r="G483" s="54"/>
      <x:c r="H483" s="54"/>
      <x:c r="I483" s="54"/>
      <x:c r="J483" s="54"/>
      <x:c r="K483" s="54"/>
      <x:c r="L483" s="54"/>
      <x:c r="M483" s="54"/>
      <x:c r="N483" s="54"/>
      <x:c r="O483" s="57" t="str">
        <x:f>IF($C483="","",MAX(0,MIN(100,IFERROR(VLOOKUP($L483,'Lists &amp; Rules'!$P$5:$Q$8,2,FALSE),0)+IFERROR(VLOOKUP($N483,'Lists &amp; Rules'!$S$5:$T$7,2,FALSE),0)+IFERROR(VLOOKUP($M483,'Lists &amp; Rules'!$L$5:$N$13,3,FALSE),0)+IF($R483="Overdue",-10,IF($R483="Today",5,0))+MIN(15,$Z483*3))))</x:f>
      </x:c>
      <x:c r="P483" s="71" t="str">
        <x:f>IF($A483="","",IF(COUNTIF('Activity Log'!$C$6:$C$1005,$A483)=0,"",MAXIFS('Activity Log'!$B$6:$B$1005,'Activity Log'!$C$6:$C$1005,$A483)))</x:f>
      </x:c>
      <x:c r="Q483" s="71" t="str">
        <x:f>IF($A483="","",IF(COUNTIFS('Activity Log'!$C$6:$C$1005,$A483,'Activity Log'!$J$6:$J$1005,"No",'Activity Log'!$I$6:$I$1005,"&gt;0")=0,"",MINIFS('Activity Log'!$I$6:$I$1005,'Activity Log'!$C$6:$C$1005,$A483,'Activity Log'!$J$6:$J$1005,"No",'Activity Log'!$I$6:$I$1005,"&gt;0")))</x:f>
      </x:c>
      <x:c r="R483" s="57" t="str">
        <x:f>IF($C483="","",IF(OR($K483="Won",$K483="Lost",$K483="Disqualified"),"Closed",IF($Q483="","No date",IF(INT($Q483)&lt;TODAY(),"Overdue",IF(INT($Q483)=TODAY(),"Today",IF(INT($Q483)&lt;=TODAY()+7,"Next 7 days","Later"))))))</x:f>
      </x:c>
      <x:c r="S483" s="57" t="str">
        <x:f>IF(OR($C483="",$P483=""),"",TODAY()-INT($P483))</x:f>
      </x:c>
      <x:c r="T483" s="54"/>
      <x:c r="U483" s="54"/>
      <x:c r="V483" s="63"/>
      <x:c r="W483" s="74"/>
      <x:c r="X483" s="77" t="str">
        <x:f>IF($C483="","",IFERROR(VLOOKUP($M483,'Lists &amp; Rules'!$L$5:$N$13,2,FALSE),0))</x:f>
      </x:c>
      <x:c r="Y483" s="80" t="str">
        <x:f>IF(OR($C483="",$W483=""),"",ROUND($W483*$X483,0))</x:f>
      </x:c>
      <x:c r="Z483" s="57" t="str">
        <x:f>IF($A483="","",COUNTIF('Activity Log'!$C$6:$C$1005,$A483))</x:f>
      </x:c>
      <x:c r="AA483" s="68"/>
      <x:c r="AB483" s="63"/>
    </x:row>
    <x:row r="484">
      <x:c r="A484" s="54"/>
      <x:c r="B484" s="68"/>
      <x:c r="C484" s="54"/>
      <x:c r="D484" s="54"/>
      <x:c r="E484" s="54"/>
      <x:c r="F484" s="54"/>
      <x:c r="G484" s="54"/>
      <x:c r="H484" s="54"/>
      <x:c r="I484" s="54"/>
      <x:c r="J484" s="54"/>
      <x:c r="K484" s="54"/>
      <x:c r="L484" s="54"/>
      <x:c r="M484" s="54"/>
      <x:c r="N484" s="54"/>
      <x:c r="O484" s="57" t="str">
        <x:f>IF($C484="","",MAX(0,MIN(100,IFERROR(VLOOKUP($L484,'Lists &amp; Rules'!$P$5:$Q$8,2,FALSE),0)+IFERROR(VLOOKUP($N484,'Lists &amp; Rules'!$S$5:$T$7,2,FALSE),0)+IFERROR(VLOOKUP($M484,'Lists &amp; Rules'!$L$5:$N$13,3,FALSE),0)+IF($R484="Overdue",-10,IF($R484="Today",5,0))+MIN(15,$Z484*3))))</x:f>
      </x:c>
      <x:c r="P484" s="71" t="str">
        <x:f>IF($A484="","",IF(COUNTIF('Activity Log'!$C$6:$C$1005,$A484)=0,"",MAXIFS('Activity Log'!$B$6:$B$1005,'Activity Log'!$C$6:$C$1005,$A484)))</x:f>
      </x:c>
      <x:c r="Q484" s="71" t="str">
        <x:f>IF($A484="","",IF(COUNTIFS('Activity Log'!$C$6:$C$1005,$A484,'Activity Log'!$J$6:$J$1005,"No",'Activity Log'!$I$6:$I$1005,"&gt;0")=0,"",MINIFS('Activity Log'!$I$6:$I$1005,'Activity Log'!$C$6:$C$1005,$A484,'Activity Log'!$J$6:$J$1005,"No",'Activity Log'!$I$6:$I$1005,"&gt;0")))</x:f>
      </x:c>
      <x:c r="R484" s="57" t="str">
        <x:f>IF($C484="","",IF(OR($K484="Won",$K484="Lost",$K484="Disqualified"),"Closed",IF($Q484="","No date",IF(INT($Q484)&lt;TODAY(),"Overdue",IF(INT($Q484)=TODAY(),"Today",IF(INT($Q484)&lt;=TODAY()+7,"Next 7 days","Later"))))))</x:f>
      </x:c>
      <x:c r="S484" s="57" t="str">
        <x:f>IF(OR($C484="",$P484=""),"",TODAY()-INT($P484))</x:f>
      </x:c>
      <x:c r="T484" s="54"/>
      <x:c r="U484" s="54"/>
      <x:c r="V484" s="63"/>
      <x:c r="W484" s="74"/>
      <x:c r="X484" s="77" t="str">
        <x:f>IF($C484="","",IFERROR(VLOOKUP($M484,'Lists &amp; Rules'!$L$5:$N$13,2,FALSE),0))</x:f>
      </x:c>
      <x:c r="Y484" s="80" t="str">
        <x:f>IF(OR($C484="",$W484=""),"",ROUND($W484*$X484,0))</x:f>
      </x:c>
      <x:c r="Z484" s="57" t="str">
        <x:f>IF($A484="","",COUNTIF('Activity Log'!$C$6:$C$1005,$A484))</x:f>
      </x:c>
      <x:c r="AA484" s="68"/>
      <x:c r="AB484" s="63"/>
    </x:row>
    <x:row r="485">
      <x:c r="A485" s="54"/>
      <x:c r="B485" s="68"/>
      <x:c r="C485" s="54"/>
      <x:c r="D485" s="54"/>
      <x:c r="E485" s="54"/>
      <x:c r="F485" s="54"/>
      <x:c r="G485" s="54"/>
      <x:c r="H485" s="54"/>
      <x:c r="I485" s="54"/>
      <x:c r="J485" s="54"/>
      <x:c r="K485" s="54"/>
      <x:c r="L485" s="54"/>
      <x:c r="M485" s="54"/>
      <x:c r="N485" s="54"/>
      <x:c r="O485" s="57" t="str">
        <x:f>IF($C485="","",MAX(0,MIN(100,IFERROR(VLOOKUP($L485,'Lists &amp; Rules'!$P$5:$Q$8,2,FALSE),0)+IFERROR(VLOOKUP($N485,'Lists &amp; Rules'!$S$5:$T$7,2,FALSE),0)+IFERROR(VLOOKUP($M485,'Lists &amp; Rules'!$L$5:$N$13,3,FALSE),0)+IF($R485="Overdue",-10,IF($R485="Today",5,0))+MIN(15,$Z485*3))))</x:f>
      </x:c>
      <x:c r="P485" s="71" t="str">
        <x:f>IF($A485="","",IF(COUNTIF('Activity Log'!$C$6:$C$1005,$A485)=0,"",MAXIFS('Activity Log'!$B$6:$B$1005,'Activity Log'!$C$6:$C$1005,$A485)))</x:f>
      </x:c>
      <x:c r="Q485" s="71" t="str">
        <x:f>IF($A485="","",IF(COUNTIFS('Activity Log'!$C$6:$C$1005,$A485,'Activity Log'!$J$6:$J$1005,"No",'Activity Log'!$I$6:$I$1005,"&gt;0")=0,"",MINIFS('Activity Log'!$I$6:$I$1005,'Activity Log'!$C$6:$C$1005,$A485,'Activity Log'!$J$6:$J$1005,"No",'Activity Log'!$I$6:$I$1005,"&gt;0")))</x:f>
      </x:c>
      <x:c r="R485" s="57" t="str">
        <x:f>IF($C485="","",IF(OR($K485="Won",$K485="Lost",$K485="Disqualified"),"Closed",IF($Q485="","No date",IF(INT($Q485)&lt;TODAY(),"Overdue",IF(INT($Q485)=TODAY(),"Today",IF(INT($Q485)&lt;=TODAY()+7,"Next 7 days","Later"))))))</x:f>
      </x:c>
      <x:c r="S485" s="57" t="str">
        <x:f>IF(OR($C485="",$P485=""),"",TODAY()-INT($P485))</x:f>
      </x:c>
      <x:c r="T485" s="54"/>
      <x:c r="U485" s="54"/>
      <x:c r="V485" s="63"/>
      <x:c r="W485" s="74"/>
      <x:c r="X485" s="77" t="str">
        <x:f>IF($C485="","",IFERROR(VLOOKUP($M485,'Lists &amp; Rules'!$L$5:$N$13,2,FALSE),0))</x:f>
      </x:c>
      <x:c r="Y485" s="80" t="str">
        <x:f>IF(OR($C485="",$W485=""),"",ROUND($W485*$X485,0))</x:f>
      </x:c>
      <x:c r="Z485" s="57" t="str">
        <x:f>IF($A485="","",COUNTIF('Activity Log'!$C$6:$C$1005,$A485))</x:f>
      </x:c>
      <x:c r="AA485" s="68"/>
      <x:c r="AB485" s="63"/>
    </x:row>
    <x:row r="486">
      <x:c r="A486" s="54"/>
      <x:c r="B486" s="68"/>
      <x:c r="C486" s="54"/>
      <x:c r="D486" s="54"/>
      <x:c r="E486" s="54"/>
      <x:c r="F486" s="54"/>
      <x:c r="G486" s="54"/>
      <x:c r="H486" s="54"/>
      <x:c r="I486" s="54"/>
      <x:c r="J486" s="54"/>
      <x:c r="K486" s="54"/>
      <x:c r="L486" s="54"/>
      <x:c r="M486" s="54"/>
      <x:c r="N486" s="54"/>
      <x:c r="O486" s="57" t="str">
        <x:f>IF($C486="","",MAX(0,MIN(100,IFERROR(VLOOKUP($L486,'Lists &amp; Rules'!$P$5:$Q$8,2,FALSE),0)+IFERROR(VLOOKUP($N486,'Lists &amp; Rules'!$S$5:$T$7,2,FALSE),0)+IFERROR(VLOOKUP($M486,'Lists &amp; Rules'!$L$5:$N$13,3,FALSE),0)+IF($R486="Overdue",-10,IF($R486="Today",5,0))+MIN(15,$Z486*3))))</x:f>
      </x:c>
      <x:c r="P486" s="71" t="str">
        <x:f>IF($A486="","",IF(COUNTIF('Activity Log'!$C$6:$C$1005,$A486)=0,"",MAXIFS('Activity Log'!$B$6:$B$1005,'Activity Log'!$C$6:$C$1005,$A486)))</x:f>
      </x:c>
      <x:c r="Q486" s="71" t="str">
        <x:f>IF($A486="","",IF(COUNTIFS('Activity Log'!$C$6:$C$1005,$A486,'Activity Log'!$J$6:$J$1005,"No",'Activity Log'!$I$6:$I$1005,"&gt;0")=0,"",MINIFS('Activity Log'!$I$6:$I$1005,'Activity Log'!$C$6:$C$1005,$A486,'Activity Log'!$J$6:$J$1005,"No",'Activity Log'!$I$6:$I$1005,"&gt;0")))</x:f>
      </x:c>
      <x:c r="R486" s="57" t="str">
        <x:f>IF($C486="","",IF(OR($K486="Won",$K486="Lost",$K486="Disqualified"),"Closed",IF($Q486="","No date",IF(INT($Q486)&lt;TODAY(),"Overdue",IF(INT($Q486)=TODAY(),"Today",IF(INT($Q486)&lt;=TODAY()+7,"Next 7 days","Later"))))))</x:f>
      </x:c>
      <x:c r="S486" s="57" t="str">
        <x:f>IF(OR($C486="",$P486=""),"",TODAY()-INT($P486))</x:f>
      </x:c>
      <x:c r="T486" s="54"/>
      <x:c r="U486" s="54"/>
      <x:c r="V486" s="63"/>
      <x:c r="W486" s="74"/>
      <x:c r="X486" s="77" t="str">
        <x:f>IF($C486="","",IFERROR(VLOOKUP($M486,'Lists &amp; Rules'!$L$5:$N$13,2,FALSE),0))</x:f>
      </x:c>
      <x:c r="Y486" s="80" t="str">
        <x:f>IF(OR($C486="",$W486=""),"",ROUND($W486*$X486,0))</x:f>
      </x:c>
      <x:c r="Z486" s="57" t="str">
        <x:f>IF($A486="","",COUNTIF('Activity Log'!$C$6:$C$1005,$A486))</x:f>
      </x:c>
      <x:c r="AA486" s="68"/>
      <x:c r="AB486" s="63"/>
    </x:row>
    <x:row r="487">
      <x:c r="A487" s="54"/>
      <x:c r="B487" s="68"/>
      <x:c r="C487" s="54"/>
      <x:c r="D487" s="54"/>
      <x:c r="E487" s="54"/>
      <x:c r="F487" s="54"/>
      <x:c r="G487" s="54"/>
      <x:c r="H487" s="54"/>
      <x:c r="I487" s="54"/>
      <x:c r="J487" s="54"/>
      <x:c r="K487" s="54"/>
      <x:c r="L487" s="54"/>
      <x:c r="M487" s="54"/>
      <x:c r="N487" s="54"/>
      <x:c r="O487" s="57" t="str">
        <x:f>IF($C487="","",MAX(0,MIN(100,IFERROR(VLOOKUP($L487,'Lists &amp; Rules'!$P$5:$Q$8,2,FALSE),0)+IFERROR(VLOOKUP($N487,'Lists &amp; Rules'!$S$5:$T$7,2,FALSE),0)+IFERROR(VLOOKUP($M487,'Lists &amp; Rules'!$L$5:$N$13,3,FALSE),0)+IF($R487="Overdue",-10,IF($R487="Today",5,0))+MIN(15,$Z487*3))))</x:f>
      </x:c>
      <x:c r="P487" s="71" t="str">
        <x:f>IF($A487="","",IF(COUNTIF('Activity Log'!$C$6:$C$1005,$A487)=0,"",MAXIFS('Activity Log'!$B$6:$B$1005,'Activity Log'!$C$6:$C$1005,$A487)))</x:f>
      </x:c>
      <x:c r="Q487" s="71" t="str">
        <x:f>IF($A487="","",IF(COUNTIFS('Activity Log'!$C$6:$C$1005,$A487,'Activity Log'!$J$6:$J$1005,"No",'Activity Log'!$I$6:$I$1005,"&gt;0")=0,"",MINIFS('Activity Log'!$I$6:$I$1005,'Activity Log'!$C$6:$C$1005,$A487,'Activity Log'!$J$6:$J$1005,"No",'Activity Log'!$I$6:$I$1005,"&gt;0")))</x:f>
      </x:c>
      <x:c r="R487" s="57" t="str">
        <x:f>IF($C487="","",IF(OR($K487="Won",$K487="Lost",$K487="Disqualified"),"Closed",IF($Q487="","No date",IF(INT($Q487)&lt;TODAY(),"Overdue",IF(INT($Q487)=TODAY(),"Today",IF(INT($Q487)&lt;=TODAY()+7,"Next 7 days","Later"))))))</x:f>
      </x:c>
      <x:c r="S487" s="57" t="str">
        <x:f>IF(OR($C487="",$P487=""),"",TODAY()-INT($P487))</x:f>
      </x:c>
      <x:c r="T487" s="54"/>
      <x:c r="U487" s="54"/>
      <x:c r="V487" s="63"/>
      <x:c r="W487" s="74"/>
      <x:c r="X487" s="77" t="str">
        <x:f>IF($C487="","",IFERROR(VLOOKUP($M487,'Lists &amp; Rules'!$L$5:$N$13,2,FALSE),0))</x:f>
      </x:c>
      <x:c r="Y487" s="80" t="str">
        <x:f>IF(OR($C487="",$W487=""),"",ROUND($W487*$X487,0))</x:f>
      </x:c>
      <x:c r="Z487" s="57" t="str">
        <x:f>IF($A487="","",COUNTIF('Activity Log'!$C$6:$C$1005,$A487))</x:f>
      </x:c>
      <x:c r="AA487" s="68"/>
      <x:c r="AB487" s="63"/>
    </x:row>
    <x:row r="488">
      <x:c r="A488" s="54"/>
      <x:c r="B488" s="68"/>
      <x:c r="C488" s="54"/>
      <x:c r="D488" s="54"/>
      <x:c r="E488" s="54"/>
      <x:c r="F488" s="54"/>
      <x:c r="G488" s="54"/>
      <x:c r="H488" s="54"/>
      <x:c r="I488" s="54"/>
      <x:c r="J488" s="54"/>
      <x:c r="K488" s="54"/>
      <x:c r="L488" s="54"/>
      <x:c r="M488" s="54"/>
      <x:c r="N488" s="54"/>
      <x:c r="O488" s="57" t="str">
        <x:f>IF($C488="","",MAX(0,MIN(100,IFERROR(VLOOKUP($L488,'Lists &amp; Rules'!$P$5:$Q$8,2,FALSE),0)+IFERROR(VLOOKUP($N488,'Lists &amp; Rules'!$S$5:$T$7,2,FALSE),0)+IFERROR(VLOOKUP($M488,'Lists &amp; Rules'!$L$5:$N$13,3,FALSE),0)+IF($R488="Overdue",-10,IF($R488="Today",5,0))+MIN(15,$Z488*3))))</x:f>
      </x:c>
      <x:c r="P488" s="71" t="str">
        <x:f>IF($A488="","",IF(COUNTIF('Activity Log'!$C$6:$C$1005,$A488)=0,"",MAXIFS('Activity Log'!$B$6:$B$1005,'Activity Log'!$C$6:$C$1005,$A488)))</x:f>
      </x:c>
      <x:c r="Q488" s="71" t="str">
        <x:f>IF($A488="","",IF(COUNTIFS('Activity Log'!$C$6:$C$1005,$A488,'Activity Log'!$J$6:$J$1005,"No",'Activity Log'!$I$6:$I$1005,"&gt;0")=0,"",MINIFS('Activity Log'!$I$6:$I$1005,'Activity Log'!$C$6:$C$1005,$A488,'Activity Log'!$J$6:$J$1005,"No",'Activity Log'!$I$6:$I$1005,"&gt;0")))</x:f>
      </x:c>
      <x:c r="R488" s="57" t="str">
        <x:f>IF($C488="","",IF(OR($K488="Won",$K488="Lost",$K488="Disqualified"),"Closed",IF($Q488="","No date",IF(INT($Q488)&lt;TODAY(),"Overdue",IF(INT($Q488)=TODAY(),"Today",IF(INT($Q488)&lt;=TODAY()+7,"Next 7 days","Later"))))))</x:f>
      </x:c>
      <x:c r="S488" s="57" t="str">
        <x:f>IF(OR($C488="",$P488=""),"",TODAY()-INT($P488))</x:f>
      </x:c>
      <x:c r="T488" s="54"/>
      <x:c r="U488" s="54"/>
      <x:c r="V488" s="63"/>
      <x:c r="W488" s="74"/>
      <x:c r="X488" s="77" t="str">
        <x:f>IF($C488="","",IFERROR(VLOOKUP($M488,'Lists &amp; Rules'!$L$5:$N$13,2,FALSE),0))</x:f>
      </x:c>
      <x:c r="Y488" s="80" t="str">
        <x:f>IF(OR($C488="",$W488=""),"",ROUND($W488*$X488,0))</x:f>
      </x:c>
      <x:c r="Z488" s="57" t="str">
        <x:f>IF($A488="","",COUNTIF('Activity Log'!$C$6:$C$1005,$A488))</x:f>
      </x:c>
      <x:c r="AA488" s="68"/>
      <x:c r="AB488" s="63"/>
    </x:row>
    <x:row r="489">
      <x:c r="A489" s="54"/>
      <x:c r="B489" s="68"/>
      <x:c r="C489" s="54"/>
      <x:c r="D489" s="54"/>
      <x:c r="E489" s="54"/>
      <x:c r="F489" s="54"/>
      <x:c r="G489" s="54"/>
      <x:c r="H489" s="54"/>
      <x:c r="I489" s="54"/>
      <x:c r="J489" s="54"/>
      <x:c r="K489" s="54"/>
      <x:c r="L489" s="54"/>
      <x:c r="M489" s="54"/>
      <x:c r="N489" s="54"/>
      <x:c r="O489" s="57" t="str">
        <x:f>IF($C489="","",MAX(0,MIN(100,IFERROR(VLOOKUP($L489,'Lists &amp; Rules'!$P$5:$Q$8,2,FALSE),0)+IFERROR(VLOOKUP($N489,'Lists &amp; Rules'!$S$5:$T$7,2,FALSE),0)+IFERROR(VLOOKUP($M489,'Lists &amp; Rules'!$L$5:$N$13,3,FALSE),0)+IF($R489="Overdue",-10,IF($R489="Today",5,0))+MIN(15,$Z489*3))))</x:f>
      </x:c>
      <x:c r="P489" s="71" t="str">
        <x:f>IF($A489="","",IF(COUNTIF('Activity Log'!$C$6:$C$1005,$A489)=0,"",MAXIFS('Activity Log'!$B$6:$B$1005,'Activity Log'!$C$6:$C$1005,$A489)))</x:f>
      </x:c>
      <x:c r="Q489" s="71" t="str">
        <x:f>IF($A489="","",IF(COUNTIFS('Activity Log'!$C$6:$C$1005,$A489,'Activity Log'!$J$6:$J$1005,"No",'Activity Log'!$I$6:$I$1005,"&gt;0")=0,"",MINIFS('Activity Log'!$I$6:$I$1005,'Activity Log'!$C$6:$C$1005,$A489,'Activity Log'!$J$6:$J$1005,"No",'Activity Log'!$I$6:$I$1005,"&gt;0")))</x:f>
      </x:c>
      <x:c r="R489" s="57" t="str">
        <x:f>IF($C489="","",IF(OR($K489="Won",$K489="Lost",$K489="Disqualified"),"Closed",IF($Q489="","No date",IF(INT($Q489)&lt;TODAY(),"Overdue",IF(INT($Q489)=TODAY(),"Today",IF(INT($Q489)&lt;=TODAY()+7,"Next 7 days","Later"))))))</x:f>
      </x:c>
      <x:c r="S489" s="57" t="str">
        <x:f>IF(OR($C489="",$P489=""),"",TODAY()-INT($P489))</x:f>
      </x:c>
      <x:c r="T489" s="54"/>
      <x:c r="U489" s="54"/>
      <x:c r="V489" s="63"/>
      <x:c r="W489" s="74"/>
      <x:c r="X489" s="77" t="str">
        <x:f>IF($C489="","",IFERROR(VLOOKUP($M489,'Lists &amp; Rules'!$L$5:$N$13,2,FALSE),0))</x:f>
      </x:c>
      <x:c r="Y489" s="80" t="str">
        <x:f>IF(OR($C489="",$W489=""),"",ROUND($W489*$X489,0))</x:f>
      </x:c>
      <x:c r="Z489" s="57" t="str">
        <x:f>IF($A489="","",COUNTIF('Activity Log'!$C$6:$C$1005,$A489))</x:f>
      </x:c>
      <x:c r="AA489" s="68"/>
      <x:c r="AB489" s="63"/>
    </x:row>
    <x:row r="490">
      <x:c r="A490" s="54"/>
      <x:c r="B490" s="68"/>
      <x:c r="C490" s="54"/>
      <x:c r="D490" s="54"/>
      <x:c r="E490" s="54"/>
      <x:c r="F490" s="54"/>
      <x:c r="G490" s="54"/>
      <x:c r="H490" s="54"/>
      <x:c r="I490" s="54"/>
      <x:c r="J490" s="54"/>
      <x:c r="K490" s="54"/>
      <x:c r="L490" s="54"/>
      <x:c r="M490" s="54"/>
      <x:c r="N490" s="54"/>
      <x:c r="O490" s="57" t="str">
        <x:f>IF($C490="","",MAX(0,MIN(100,IFERROR(VLOOKUP($L490,'Lists &amp; Rules'!$P$5:$Q$8,2,FALSE),0)+IFERROR(VLOOKUP($N490,'Lists &amp; Rules'!$S$5:$T$7,2,FALSE),0)+IFERROR(VLOOKUP($M490,'Lists &amp; Rules'!$L$5:$N$13,3,FALSE),0)+IF($R490="Overdue",-10,IF($R490="Today",5,0))+MIN(15,$Z490*3))))</x:f>
      </x:c>
      <x:c r="P490" s="71" t="str">
        <x:f>IF($A490="","",IF(COUNTIF('Activity Log'!$C$6:$C$1005,$A490)=0,"",MAXIFS('Activity Log'!$B$6:$B$1005,'Activity Log'!$C$6:$C$1005,$A490)))</x:f>
      </x:c>
      <x:c r="Q490" s="71" t="str">
        <x:f>IF($A490="","",IF(COUNTIFS('Activity Log'!$C$6:$C$1005,$A490,'Activity Log'!$J$6:$J$1005,"No",'Activity Log'!$I$6:$I$1005,"&gt;0")=0,"",MINIFS('Activity Log'!$I$6:$I$1005,'Activity Log'!$C$6:$C$1005,$A490,'Activity Log'!$J$6:$J$1005,"No",'Activity Log'!$I$6:$I$1005,"&gt;0")))</x:f>
      </x:c>
      <x:c r="R490" s="57" t="str">
        <x:f>IF($C490="","",IF(OR($K490="Won",$K490="Lost",$K490="Disqualified"),"Closed",IF($Q490="","No date",IF(INT($Q490)&lt;TODAY(),"Overdue",IF(INT($Q490)=TODAY(),"Today",IF(INT($Q490)&lt;=TODAY()+7,"Next 7 days","Later"))))))</x:f>
      </x:c>
      <x:c r="S490" s="57" t="str">
        <x:f>IF(OR($C490="",$P490=""),"",TODAY()-INT($P490))</x:f>
      </x:c>
      <x:c r="T490" s="54"/>
      <x:c r="U490" s="54"/>
      <x:c r="V490" s="63"/>
      <x:c r="W490" s="74"/>
      <x:c r="X490" s="77" t="str">
        <x:f>IF($C490="","",IFERROR(VLOOKUP($M490,'Lists &amp; Rules'!$L$5:$N$13,2,FALSE),0))</x:f>
      </x:c>
      <x:c r="Y490" s="80" t="str">
        <x:f>IF(OR($C490="",$W490=""),"",ROUND($W490*$X490,0))</x:f>
      </x:c>
      <x:c r="Z490" s="57" t="str">
        <x:f>IF($A490="","",COUNTIF('Activity Log'!$C$6:$C$1005,$A490))</x:f>
      </x:c>
      <x:c r="AA490" s="68"/>
      <x:c r="AB490" s="63"/>
    </x:row>
    <x:row r="491">
      <x:c r="A491" s="54"/>
      <x:c r="B491" s="68"/>
      <x:c r="C491" s="54"/>
      <x:c r="D491" s="54"/>
      <x:c r="E491" s="54"/>
      <x:c r="F491" s="54"/>
      <x:c r="G491" s="54"/>
      <x:c r="H491" s="54"/>
      <x:c r="I491" s="54"/>
      <x:c r="J491" s="54"/>
      <x:c r="K491" s="54"/>
      <x:c r="L491" s="54"/>
      <x:c r="M491" s="54"/>
      <x:c r="N491" s="54"/>
      <x:c r="O491" s="57" t="str">
        <x:f>IF($C491="","",MAX(0,MIN(100,IFERROR(VLOOKUP($L491,'Lists &amp; Rules'!$P$5:$Q$8,2,FALSE),0)+IFERROR(VLOOKUP($N491,'Lists &amp; Rules'!$S$5:$T$7,2,FALSE),0)+IFERROR(VLOOKUP($M491,'Lists &amp; Rules'!$L$5:$N$13,3,FALSE),0)+IF($R491="Overdue",-10,IF($R491="Today",5,0))+MIN(15,$Z491*3))))</x:f>
      </x:c>
      <x:c r="P491" s="71" t="str">
        <x:f>IF($A491="","",IF(COUNTIF('Activity Log'!$C$6:$C$1005,$A491)=0,"",MAXIFS('Activity Log'!$B$6:$B$1005,'Activity Log'!$C$6:$C$1005,$A491)))</x:f>
      </x:c>
      <x:c r="Q491" s="71" t="str">
        <x:f>IF($A491="","",IF(COUNTIFS('Activity Log'!$C$6:$C$1005,$A491,'Activity Log'!$J$6:$J$1005,"No",'Activity Log'!$I$6:$I$1005,"&gt;0")=0,"",MINIFS('Activity Log'!$I$6:$I$1005,'Activity Log'!$C$6:$C$1005,$A491,'Activity Log'!$J$6:$J$1005,"No",'Activity Log'!$I$6:$I$1005,"&gt;0")))</x:f>
      </x:c>
      <x:c r="R491" s="57" t="str">
        <x:f>IF($C491="","",IF(OR($K491="Won",$K491="Lost",$K491="Disqualified"),"Closed",IF($Q491="","No date",IF(INT($Q491)&lt;TODAY(),"Overdue",IF(INT($Q491)=TODAY(),"Today",IF(INT($Q491)&lt;=TODAY()+7,"Next 7 days","Later"))))))</x:f>
      </x:c>
      <x:c r="S491" s="57" t="str">
        <x:f>IF(OR($C491="",$P491=""),"",TODAY()-INT($P491))</x:f>
      </x:c>
      <x:c r="T491" s="54"/>
      <x:c r="U491" s="54"/>
      <x:c r="V491" s="63"/>
      <x:c r="W491" s="74"/>
      <x:c r="X491" s="77" t="str">
        <x:f>IF($C491="","",IFERROR(VLOOKUP($M491,'Lists &amp; Rules'!$L$5:$N$13,2,FALSE),0))</x:f>
      </x:c>
      <x:c r="Y491" s="80" t="str">
        <x:f>IF(OR($C491="",$W491=""),"",ROUND($W491*$X491,0))</x:f>
      </x:c>
      <x:c r="Z491" s="57" t="str">
        <x:f>IF($A491="","",COUNTIF('Activity Log'!$C$6:$C$1005,$A491))</x:f>
      </x:c>
      <x:c r="AA491" s="68"/>
      <x:c r="AB491" s="63"/>
    </x:row>
    <x:row r="492">
      <x:c r="A492" s="54"/>
      <x:c r="B492" s="68"/>
      <x:c r="C492" s="54"/>
      <x:c r="D492" s="54"/>
      <x:c r="E492" s="54"/>
      <x:c r="F492" s="54"/>
      <x:c r="G492" s="54"/>
      <x:c r="H492" s="54"/>
      <x:c r="I492" s="54"/>
      <x:c r="J492" s="54"/>
      <x:c r="K492" s="54"/>
      <x:c r="L492" s="54"/>
      <x:c r="M492" s="54"/>
      <x:c r="N492" s="54"/>
      <x:c r="O492" s="57" t="str">
        <x:f>IF($C492="","",MAX(0,MIN(100,IFERROR(VLOOKUP($L492,'Lists &amp; Rules'!$P$5:$Q$8,2,FALSE),0)+IFERROR(VLOOKUP($N492,'Lists &amp; Rules'!$S$5:$T$7,2,FALSE),0)+IFERROR(VLOOKUP($M492,'Lists &amp; Rules'!$L$5:$N$13,3,FALSE),0)+IF($R492="Overdue",-10,IF($R492="Today",5,0))+MIN(15,$Z492*3))))</x:f>
      </x:c>
      <x:c r="P492" s="71" t="str">
        <x:f>IF($A492="","",IF(COUNTIF('Activity Log'!$C$6:$C$1005,$A492)=0,"",MAXIFS('Activity Log'!$B$6:$B$1005,'Activity Log'!$C$6:$C$1005,$A492)))</x:f>
      </x:c>
      <x:c r="Q492" s="71" t="str">
        <x:f>IF($A492="","",IF(COUNTIFS('Activity Log'!$C$6:$C$1005,$A492,'Activity Log'!$J$6:$J$1005,"No",'Activity Log'!$I$6:$I$1005,"&gt;0")=0,"",MINIFS('Activity Log'!$I$6:$I$1005,'Activity Log'!$C$6:$C$1005,$A492,'Activity Log'!$J$6:$J$1005,"No",'Activity Log'!$I$6:$I$1005,"&gt;0")))</x:f>
      </x:c>
      <x:c r="R492" s="57" t="str">
        <x:f>IF($C492="","",IF(OR($K492="Won",$K492="Lost",$K492="Disqualified"),"Closed",IF($Q492="","No date",IF(INT($Q492)&lt;TODAY(),"Overdue",IF(INT($Q492)=TODAY(),"Today",IF(INT($Q492)&lt;=TODAY()+7,"Next 7 days","Later"))))))</x:f>
      </x:c>
      <x:c r="S492" s="57" t="str">
        <x:f>IF(OR($C492="",$P492=""),"",TODAY()-INT($P492))</x:f>
      </x:c>
      <x:c r="T492" s="54"/>
      <x:c r="U492" s="54"/>
      <x:c r="V492" s="63"/>
      <x:c r="W492" s="74"/>
      <x:c r="X492" s="77" t="str">
        <x:f>IF($C492="","",IFERROR(VLOOKUP($M492,'Lists &amp; Rules'!$L$5:$N$13,2,FALSE),0))</x:f>
      </x:c>
      <x:c r="Y492" s="80" t="str">
        <x:f>IF(OR($C492="",$W492=""),"",ROUND($W492*$X492,0))</x:f>
      </x:c>
      <x:c r="Z492" s="57" t="str">
        <x:f>IF($A492="","",COUNTIF('Activity Log'!$C$6:$C$1005,$A492))</x:f>
      </x:c>
      <x:c r="AA492" s="68"/>
      <x:c r="AB492" s="63"/>
    </x:row>
    <x:row r="493">
      <x:c r="A493" s="54"/>
      <x:c r="B493" s="68"/>
      <x:c r="C493" s="54"/>
      <x:c r="D493" s="54"/>
      <x:c r="E493" s="54"/>
      <x:c r="F493" s="54"/>
      <x:c r="G493" s="54"/>
      <x:c r="H493" s="54"/>
      <x:c r="I493" s="54"/>
      <x:c r="J493" s="54"/>
      <x:c r="K493" s="54"/>
      <x:c r="L493" s="54"/>
      <x:c r="M493" s="54"/>
      <x:c r="N493" s="54"/>
      <x:c r="O493" s="57" t="str">
        <x:f>IF($C493="","",MAX(0,MIN(100,IFERROR(VLOOKUP($L493,'Lists &amp; Rules'!$P$5:$Q$8,2,FALSE),0)+IFERROR(VLOOKUP($N493,'Lists &amp; Rules'!$S$5:$T$7,2,FALSE),0)+IFERROR(VLOOKUP($M493,'Lists &amp; Rules'!$L$5:$N$13,3,FALSE),0)+IF($R493="Overdue",-10,IF($R493="Today",5,0))+MIN(15,$Z493*3))))</x:f>
      </x:c>
      <x:c r="P493" s="71" t="str">
        <x:f>IF($A493="","",IF(COUNTIF('Activity Log'!$C$6:$C$1005,$A493)=0,"",MAXIFS('Activity Log'!$B$6:$B$1005,'Activity Log'!$C$6:$C$1005,$A493)))</x:f>
      </x:c>
      <x:c r="Q493" s="71" t="str">
        <x:f>IF($A493="","",IF(COUNTIFS('Activity Log'!$C$6:$C$1005,$A493,'Activity Log'!$J$6:$J$1005,"No",'Activity Log'!$I$6:$I$1005,"&gt;0")=0,"",MINIFS('Activity Log'!$I$6:$I$1005,'Activity Log'!$C$6:$C$1005,$A493,'Activity Log'!$J$6:$J$1005,"No",'Activity Log'!$I$6:$I$1005,"&gt;0")))</x:f>
      </x:c>
      <x:c r="R493" s="57" t="str">
        <x:f>IF($C493="","",IF(OR($K493="Won",$K493="Lost",$K493="Disqualified"),"Closed",IF($Q493="","No date",IF(INT($Q493)&lt;TODAY(),"Overdue",IF(INT($Q493)=TODAY(),"Today",IF(INT($Q493)&lt;=TODAY()+7,"Next 7 days","Later"))))))</x:f>
      </x:c>
      <x:c r="S493" s="57" t="str">
        <x:f>IF(OR($C493="",$P493=""),"",TODAY()-INT($P493))</x:f>
      </x:c>
      <x:c r="T493" s="54"/>
      <x:c r="U493" s="54"/>
      <x:c r="V493" s="63"/>
      <x:c r="W493" s="74"/>
      <x:c r="X493" s="77" t="str">
        <x:f>IF($C493="","",IFERROR(VLOOKUP($M493,'Lists &amp; Rules'!$L$5:$N$13,2,FALSE),0))</x:f>
      </x:c>
      <x:c r="Y493" s="80" t="str">
        <x:f>IF(OR($C493="",$W493=""),"",ROUND($W493*$X493,0))</x:f>
      </x:c>
      <x:c r="Z493" s="57" t="str">
        <x:f>IF($A493="","",COUNTIF('Activity Log'!$C$6:$C$1005,$A493))</x:f>
      </x:c>
      <x:c r="AA493" s="68"/>
      <x:c r="AB493" s="63"/>
    </x:row>
    <x:row r="494">
      <x:c r="A494" s="54"/>
      <x:c r="B494" s="68"/>
      <x:c r="C494" s="54"/>
      <x:c r="D494" s="54"/>
      <x:c r="E494" s="54"/>
      <x:c r="F494" s="54"/>
      <x:c r="G494" s="54"/>
      <x:c r="H494" s="54"/>
      <x:c r="I494" s="54"/>
      <x:c r="J494" s="54"/>
      <x:c r="K494" s="54"/>
      <x:c r="L494" s="54"/>
      <x:c r="M494" s="54"/>
      <x:c r="N494" s="54"/>
      <x:c r="O494" s="57" t="str">
        <x:f>IF($C494="","",MAX(0,MIN(100,IFERROR(VLOOKUP($L494,'Lists &amp; Rules'!$P$5:$Q$8,2,FALSE),0)+IFERROR(VLOOKUP($N494,'Lists &amp; Rules'!$S$5:$T$7,2,FALSE),0)+IFERROR(VLOOKUP($M494,'Lists &amp; Rules'!$L$5:$N$13,3,FALSE),0)+IF($R494="Overdue",-10,IF($R494="Today",5,0))+MIN(15,$Z494*3))))</x:f>
      </x:c>
      <x:c r="P494" s="71" t="str">
        <x:f>IF($A494="","",IF(COUNTIF('Activity Log'!$C$6:$C$1005,$A494)=0,"",MAXIFS('Activity Log'!$B$6:$B$1005,'Activity Log'!$C$6:$C$1005,$A494)))</x:f>
      </x:c>
      <x:c r="Q494" s="71" t="str">
        <x:f>IF($A494="","",IF(COUNTIFS('Activity Log'!$C$6:$C$1005,$A494,'Activity Log'!$J$6:$J$1005,"No",'Activity Log'!$I$6:$I$1005,"&gt;0")=0,"",MINIFS('Activity Log'!$I$6:$I$1005,'Activity Log'!$C$6:$C$1005,$A494,'Activity Log'!$J$6:$J$1005,"No",'Activity Log'!$I$6:$I$1005,"&gt;0")))</x:f>
      </x:c>
      <x:c r="R494" s="57" t="str">
        <x:f>IF($C494="","",IF(OR($K494="Won",$K494="Lost",$K494="Disqualified"),"Closed",IF($Q494="","No date",IF(INT($Q494)&lt;TODAY(),"Overdue",IF(INT($Q494)=TODAY(),"Today",IF(INT($Q494)&lt;=TODAY()+7,"Next 7 days","Later"))))))</x:f>
      </x:c>
      <x:c r="S494" s="57" t="str">
        <x:f>IF(OR($C494="",$P494=""),"",TODAY()-INT($P494))</x:f>
      </x:c>
      <x:c r="T494" s="54"/>
      <x:c r="U494" s="54"/>
      <x:c r="V494" s="63"/>
      <x:c r="W494" s="74"/>
      <x:c r="X494" s="77" t="str">
        <x:f>IF($C494="","",IFERROR(VLOOKUP($M494,'Lists &amp; Rules'!$L$5:$N$13,2,FALSE),0))</x:f>
      </x:c>
      <x:c r="Y494" s="80" t="str">
        <x:f>IF(OR($C494="",$W494=""),"",ROUND($W494*$X494,0))</x:f>
      </x:c>
      <x:c r="Z494" s="57" t="str">
        <x:f>IF($A494="","",COUNTIF('Activity Log'!$C$6:$C$1005,$A494))</x:f>
      </x:c>
      <x:c r="AA494" s="68"/>
      <x:c r="AB494" s="63"/>
    </x:row>
    <x:row r="495">
      <x:c r="A495" s="54"/>
      <x:c r="B495" s="68"/>
      <x:c r="C495" s="54"/>
      <x:c r="D495" s="54"/>
      <x:c r="E495" s="54"/>
      <x:c r="F495" s="54"/>
      <x:c r="G495" s="54"/>
      <x:c r="H495" s="54"/>
      <x:c r="I495" s="54"/>
      <x:c r="J495" s="54"/>
      <x:c r="K495" s="54"/>
      <x:c r="L495" s="54"/>
      <x:c r="M495" s="54"/>
      <x:c r="N495" s="54"/>
      <x:c r="O495" s="57" t="str">
        <x:f>IF($C495="","",MAX(0,MIN(100,IFERROR(VLOOKUP($L495,'Lists &amp; Rules'!$P$5:$Q$8,2,FALSE),0)+IFERROR(VLOOKUP($N495,'Lists &amp; Rules'!$S$5:$T$7,2,FALSE),0)+IFERROR(VLOOKUP($M495,'Lists &amp; Rules'!$L$5:$N$13,3,FALSE),0)+IF($R495="Overdue",-10,IF($R495="Today",5,0))+MIN(15,$Z495*3))))</x:f>
      </x:c>
      <x:c r="P495" s="71" t="str">
        <x:f>IF($A495="","",IF(COUNTIF('Activity Log'!$C$6:$C$1005,$A495)=0,"",MAXIFS('Activity Log'!$B$6:$B$1005,'Activity Log'!$C$6:$C$1005,$A495)))</x:f>
      </x:c>
      <x:c r="Q495" s="71" t="str">
        <x:f>IF($A495="","",IF(COUNTIFS('Activity Log'!$C$6:$C$1005,$A495,'Activity Log'!$J$6:$J$1005,"No",'Activity Log'!$I$6:$I$1005,"&gt;0")=0,"",MINIFS('Activity Log'!$I$6:$I$1005,'Activity Log'!$C$6:$C$1005,$A495,'Activity Log'!$J$6:$J$1005,"No",'Activity Log'!$I$6:$I$1005,"&gt;0")))</x:f>
      </x:c>
      <x:c r="R495" s="57" t="str">
        <x:f>IF($C495="","",IF(OR($K495="Won",$K495="Lost",$K495="Disqualified"),"Closed",IF($Q495="","No date",IF(INT($Q495)&lt;TODAY(),"Overdue",IF(INT($Q495)=TODAY(),"Today",IF(INT($Q495)&lt;=TODAY()+7,"Next 7 days","Later"))))))</x:f>
      </x:c>
      <x:c r="S495" s="57" t="str">
        <x:f>IF(OR($C495="",$P495=""),"",TODAY()-INT($P495))</x:f>
      </x:c>
      <x:c r="T495" s="54"/>
      <x:c r="U495" s="54"/>
      <x:c r="V495" s="63"/>
      <x:c r="W495" s="74"/>
      <x:c r="X495" s="77" t="str">
        <x:f>IF($C495="","",IFERROR(VLOOKUP($M495,'Lists &amp; Rules'!$L$5:$N$13,2,FALSE),0))</x:f>
      </x:c>
      <x:c r="Y495" s="80" t="str">
        <x:f>IF(OR($C495="",$W495=""),"",ROUND($W495*$X495,0))</x:f>
      </x:c>
      <x:c r="Z495" s="57" t="str">
        <x:f>IF($A495="","",COUNTIF('Activity Log'!$C$6:$C$1005,$A495))</x:f>
      </x:c>
      <x:c r="AA495" s="68"/>
      <x:c r="AB495" s="63"/>
    </x:row>
    <x:row r="496">
      <x:c r="A496" s="54"/>
      <x:c r="B496" s="68"/>
      <x:c r="C496" s="54"/>
      <x:c r="D496" s="54"/>
      <x:c r="E496" s="54"/>
      <x:c r="F496" s="54"/>
      <x:c r="G496" s="54"/>
      <x:c r="H496" s="54"/>
      <x:c r="I496" s="54"/>
      <x:c r="J496" s="54"/>
      <x:c r="K496" s="54"/>
      <x:c r="L496" s="54"/>
      <x:c r="M496" s="54"/>
      <x:c r="N496" s="54"/>
      <x:c r="O496" s="57" t="str">
        <x:f>IF($C496="","",MAX(0,MIN(100,IFERROR(VLOOKUP($L496,'Lists &amp; Rules'!$P$5:$Q$8,2,FALSE),0)+IFERROR(VLOOKUP($N496,'Lists &amp; Rules'!$S$5:$T$7,2,FALSE),0)+IFERROR(VLOOKUP($M496,'Lists &amp; Rules'!$L$5:$N$13,3,FALSE),0)+IF($R496="Overdue",-10,IF($R496="Today",5,0))+MIN(15,$Z496*3))))</x:f>
      </x:c>
      <x:c r="P496" s="71" t="str">
        <x:f>IF($A496="","",IF(COUNTIF('Activity Log'!$C$6:$C$1005,$A496)=0,"",MAXIFS('Activity Log'!$B$6:$B$1005,'Activity Log'!$C$6:$C$1005,$A496)))</x:f>
      </x:c>
      <x:c r="Q496" s="71" t="str">
        <x:f>IF($A496="","",IF(COUNTIFS('Activity Log'!$C$6:$C$1005,$A496,'Activity Log'!$J$6:$J$1005,"No",'Activity Log'!$I$6:$I$1005,"&gt;0")=0,"",MINIFS('Activity Log'!$I$6:$I$1005,'Activity Log'!$C$6:$C$1005,$A496,'Activity Log'!$J$6:$J$1005,"No",'Activity Log'!$I$6:$I$1005,"&gt;0")))</x:f>
      </x:c>
      <x:c r="R496" s="57" t="str">
        <x:f>IF($C496="","",IF(OR($K496="Won",$K496="Lost",$K496="Disqualified"),"Closed",IF($Q496="","No date",IF(INT($Q496)&lt;TODAY(),"Overdue",IF(INT($Q496)=TODAY(),"Today",IF(INT($Q496)&lt;=TODAY()+7,"Next 7 days","Later"))))))</x:f>
      </x:c>
      <x:c r="S496" s="57" t="str">
        <x:f>IF(OR($C496="",$P496=""),"",TODAY()-INT($P496))</x:f>
      </x:c>
      <x:c r="T496" s="54"/>
      <x:c r="U496" s="54"/>
      <x:c r="V496" s="63"/>
      <x:c r="W496" s="74"/>
      <x:c r="X496" s="77" t="str">
        <x:f>IF($C496="","",IFERROR(VLOOKUP($M496,'Lists &amp; Rules'!$L$5:$N$13,2,FALSE),0))</x:f>
      </x:c>
      <x:c r="Y496" s="80" t="str">
        <x:f>IF(OR($C496="",$W496=""),"",ROUND($W496*$X496,0))</x:f>
      </x:c>
      <x:c r="Z496" s="57" t="str">
        <x:f>IF($A496="","",COUNTIF('Activity Log'!$C$6:$C$1005,$A496))</x:f>
      </x:c>
      <x:c r="AA496" s="68"/>
      <x:c r="AB496" s="63"/>
    </x:row>
    <x:row r="497">
      <x:c r="A497" s="54"/>
      <x:c r="B497" s="68"/>
      <x:c r="C497" s="54"/>
      <x:c r="D497" s="54"/>
      <x:c r="E497" s="54"/>
      <x:c r="F497" s="54"/>
      <x:c r="G497" s="54"/>
      <x:c r="H497" s="54"/>
      <x:c r="I497" s="54"/>
      <x:c r="J497" s="54"/>
      <x:c r="K497" s="54"/>
      <x:c r="L497" s="54"/>
      <x:c r="M497" s="54"/>
      <x:c r="N497" s="54"/>
      <x:c r="O497" s="57" t="str">
        <x:f>IF($C497="","",MAX(0,MIN(100,IFERROR(VLOOKUP($L497,'Lists &amp; Rules'!$P$5:$Q$8,2,FALSE),0)+IFERROR(VLOOKUP($N497,'Lists &amp; Rules'!$S$5:$T$7,2,FALSE),0)+IFERROR(VLOOKUP($M497,'Lists &amp; Rules'!$L$5:$N$13,3,FALSE),0)+IF($R497="Overdue",-10,IF($R497="Today",5,0))+MIN(15,$Z497*3))))</x:f>
      </x:c>
      <x:c r="P497" s="71" t="str">
        <x:f>IF($A497="","",IF(COUNTIF('Activity Log'!$C$6:$C$1005,$A497)=0,"",MAXIFS('Activity Log'!$B$6:$B$1005,'Activity Log'!$C$6:$C$1005,$A497)))</x:f>
      </x:c>
      <x:c r="Q497" s="71" t="str">
        <x:f>IF($A497="","",IF(COUNTIFS('Activity Log'!$C$6:$C$1005,$A497,'Activity Log'!$J$6:$J$1005,"No",'Activity Log'!$I$6:$I$1005,"&gt;0")=0,"",MINIFS('Activity Log'!$I$6:$I$1005,'Activity Log'!$C$6:$C$1005,$A497,'Activity Log'!$J$6:$J$1005,"No",'Activity Log'!$I$6:$I$1005,"&gt;0")))</x:f>
      </x:c>
      <x:c r="R497" s="57" t="str">
        <x:f>IF($C497="","",IF(OR($K497="Won",$K497="Lost",$K497="Disqualified"),"Closed",IF($Q497="","No date",IF(INT($Q497)&lt;TODAY(),"Overdue",IF(INT($Q497)=TODAY(),"Today",IF(INT($Q497)&lt;=TODAY()+7,"Next 7 days","Later"))))))</x:f>
      </x:c>
      <x:c r="S497" s="57" t="str">
        <x:f>IF(OR($C497="",$P497=""),"",TODAY()-INT($P497))</x:f>
      </x:c>
      <x:c r="T497" s="54"/>
      <x:c r="U497" s="54"/>
      <x:c r="V497" s="63"/>
      <x:c r="W497" s="74"/>
      <x:c r="X497" s="77" t="str">
        <x:f>IF($C497="","",IFERROR(VLOOKUP($M497,'Lists &amp; Rules'!$L$5:$N$13,2,FALSE),0))</x:f>
      </x:c>
      <x:c r="Y497" s="80" t="str">
        <x:f>IF(OR($C497="",$W497=""),"",ROUND($W497*$X497,0))</x:f>
      </x:c>
      <x:c r="Z497" s="57" t="str">
        <x:f>IF($A497="","",COUNTIF('Activity Log'!$C$6:$C$1005,$A497))</x:f>
      </x:c>
      <x:c r="AA497" s="68"/>
      <x:c r="AB497" s="63"/>
    </x:row>
    <x:row r="498">
      <x:c r="A498" s="54"/>
      <x:c r="B498" s="68"/>
      <x:c r="C498" s="54"/>
      <x:c r="D498" s="54"/>
      <x:c r="E498" s="54"/>
      <x:c r="F498" s="54"/>
      <x:c r="G498" s="54"/>
      <x:c r="H498" s="54"/>
      <x:c r="I498" s="54"/>
      <x:c r="J498" s="54"/>
      <x:c r="K498" s="54"/>
      <x:c r="L498" s="54"/>
      <x:c r="M498" s="54"/>
      <x:c r="N498" s="54"/>
      <x:c r="O498" s="57" t="str">
        <x:f>IF($C498="","",MAX(0,MIN(100,IFERROR(VLOOKUP($L498,'Lists &amp; Rules'!$P$5:$Q$8,2,FALSE),0)+IFERROR(VLOOKUP($N498,'Lists &amp; Rules'!$S$5:$T$7,2,FALSE),0)+IFERROR(VLOOKUP($M498,'Lists &amp; Rules'!$L$5:$N$13,3,FALSE),0)+IF($R498="Overdue",-10,IF($R498="Today",5,0))+MIN(15,$Z498*3))))</x:f>
      </x:c>
      <x:c r="P498" s="71" t="str">
        <x:f>IF($A498="","",IF(COUNTIF('Activity Log'!$C$6:$C$1005,$A498)=0,"",MAXIFS('Activity Log'!$B$6:$B$1005,'Activity Log'!$C$6:$C$1005,$A498)))</x:f>
      </x:c>
      <x:c r="Q498" s="71" t="str">
        <x:f>IF($A498="","",IF(COUNTIFS('Activity Log'!$C$6:$C$1005,$A498,'Activity Log'!$J$6:$J$1005,"No",'Activity Log'!$I$6:$I$1005,"&gt;0")=0,"",MINIFS('Activity Log'!$I$6:$I$1005,'Activity Log'!$C$6:$C$1005,$A498,'Activity Log'!$J$6:$J$1005,"No",'Activity Log'!$I$6:$I$1005,"&gt;0")))</x:f>
      </x:c>
      <x:c r="R498" s="57" t="str">
        <x:f>IF($C498="","",IF(OR($K498="Won",$K498="Lost",$K498="Disqualified"),"Closed",IF($Q498="","No date",IF(INT($Q498)&lt;TODAY(),"Overdue",IF(INT($Q498)=TODAY(),"Today",IF(INT($Q498)&lt;=TODAY()+7,"Next 7 days","Later"))))))</x:f>
      </x:c>
      <x:c r="S498" s="57" t="str">
        <x:f>IF(OR($C498="",$P498=""),"",TODAY()-INT($P498))</x:f>
      </x:c>
      <x:c r="T498" s="54"/>
      <x:c r="U498" s="54"/>
      <x:c r="V498" s="63"/>
      <x:c r="W498" s="74"/>
      <x:c r="X498" s="77" t="str">
        <x:f>IF($C498="","",IFERROR(VLOOKUP($M498,'Lists &amp; Rules'!$L$5:$N$13,2,FALSE),0))</x:f>
      </x:c>
      <x:c r="Y498" s="80" t="str">
        <x:f>IF(OR($C498="",$W498=""),"",ROUND($W498*$X498,0))</x:f>
      </x:c>
      <x:c r="Z498" s="57" t="str">
        <x:f>IF($A498="","",COUNTIF('Activity Log'!$C$6:$C$1005,$A498))</x:f>
      </x:c>
      <x:c r="AA498" s="68"/>
      <x:c r="AB498" s="63"/>
    </x:row>
    <x:row r="499">
      <x:c r="A499" s="54"/>
      <x:c r="B499" s="68"/>
      <x:c r="C499" s="54"/>
      <x:c r="D499" s="54"/>
      <x:c r="E499" s="54"/>
      <x:c r="F499" s="54"/>
      <x:c r="G499" s="54"/>
      <x:c r="H499" s="54"/>
      <x:c r="I499" s="54"/>
      <x:c r="J499" s="54"/>
      <x:c r="K499" s="54"/>
      <x:c r="L499" s="54"/>
      <x:c r="M499" s="54"/>
      <x:c r="N499" s="54"/>
      <x:c r="O499" s="57" t="str">
        <x:f>IF($C499="","",MAX(0,MIN(100,IFERROR(VLOOKUP($L499,'Lists &amp; Rules'!$P$5:$Q$8,2,FALSE),0)+IFERROR(VLOOKUP($N499,'Lists &amp; Rules'!$S$5:$T$7,2,FALSE),0)+IFERROR(VLOOKUP($M499,'Lists &amp; Rules'!$L$5:$N$13,3,FALSE),0)+IF($R499="Overdue",-10,IF($R499="Today",5,0))+MIN(15,$Z499*3))))</x:f>
      </x:c>
      <x:c r="P499" s="71" t="str">
        <x:f>IF($A499="","",IF(COUNTIF('Activity Log'!$C$6:$C$1005,$A499)=0,"",MAXIFS('Activity Log'!$B$6:$B$1005,'Activity Log'!$C$6:$C$1005,$A499)))</x:f>
      </x:c>
      <x:c r="Q499" s="71" t="str">
        <x:f>IF($A499="","",IF(COUNTIFS('Activity Log'!$C$6:$C$1005,$A499,'Activity Log'!$J$6:$J$1005,"No",'Activity Log'!$I$6:$I$1005,"&gt;0")=0,"",MINIFS('Activity Log'!$I$6:$I$1005,'Activity Log'!$C$6:$C$1005,$A499,'Activity Log'!$J$6:$J$1005,"No",'Activity Log'!$I$6:$I$1005,"&gt;0")))</x:f>
      </x:c>
      <x:c r="R499" s="57" t="str">
        <x:f>IF($C499="","",IF(OR($K499="Won",$K499="Lost",$K499="Disqualified"),"Closed",IF($Q499="","No date",IF(INT($Q499)&lt;TODAY(),"Overdue",IF(INT($Q499)=TODAY(),"Today",IF(INT($Q499)&lt;=TODAY()+7,"Next 7 days","Later"))))))</x:f>
      </x:c>
      <x:c r="S499" s="57" t="str">
        <x:f>IF(OR($C499="",$P499=""),"",TODAY()-INT($P499))</x:f>
      </x:c>
      <x:c r="T499" s="54"/>
      <x:c r="U499" s="54"/>
      <x:c r="V499" s="63"/>
      <x:c r="W499" s="74"/>
      <x:c r="X499" s="77" t="str">
        <x:f>IF($C499="","",IFERROR(VLOOKUP($M499,'Lists &amp; Rules'!$L$5:$N$13,2,FALSE),0))</x:f>
      </x:c>
      <x:c r="Y499" s="80" t="str">
        <x:f>IF(OR($C499="",$W499=""),"",ROUND($W499*$X499,0))</x:f>
      </x:c>
      <x:c r="Z499" s="57" t="str">
        <x:f>IF($A499="","",COUNTIF('Activity Log'!$C$6:$C$1005,$A499))</x:f>
      </x:c>
      <x:c r="AA499" s="68"/>
      <x:c r="AB499" s="63"/>
    </x:row>
    <x:row r="500">
      <x:c r="A500" s="54"/>
      <x:c r="B500" s="68"/>
      <x:c r="C500" s="54"/>
      <x:c r="D500" s="54"/>
      <x:c r="E500" s="54"/>
      <x:c r="F500" s="54"/>
      <x:c r="G500" s="54"/>
      <x:c r="H500" s="54"/>
      <x:c r="I500" s="54"/>
      <x:c r="J500" s="54"/>
      <x:c r="K500" s="54"/>
      <x:c r="L500" s="54"/>
      <x:c r="M500" s="54"/>
      <x:c r="N500" s="54"/>
      <x:c r="O500" s="57" t="str">
        <x:f>IF($C500="","",MAX(0,MIN(100,IFERROR(VLOOKUP($L500,'Lists &amp; Rules'!$P$5:$Q$8,2,FALSE),0)+IFERROR(VLOOKUP($N500,'Lists &amp; Rules'!$S$5:$T$7,2,FALSE),0)+IFERROR(VLOOKUP($M500,'Lists &amp; Rules'!$L$5:$N$13,3,FALSE),0)+IF($R500="Overdue",-10,IF($R500="Today",5,0))+MIN(15,$Z500*3))))</x:f>
      </x:c>
      <x:c r="P500" s="71" t="str">
        <x:f>IF($A500="","",IF(COUNTIF('Activity Log'!$C$6:$C$1005,$A500)=0,"",MAXIFS('Activity Log'!$B$6:$B$1005,'Activity Log'!$C$6:$C$1005,$A500)))</x:f>
      </x:c>
      <x:c r="Q500" s="71" t="str">
        <x:f>IF($A500="","",IF(COUNTIFS('Activity Log'!$C$6:$C$1005,$A500,'Activity Log'!$J$6:$J$1005,"No",'Activity Log'!$I$6:$I$1005,"&gt;0")=0,"",MINIFS('Activity Log'!$I$6:$I$1005,'Activity Log'!$C$6:$C$1005,$A500,'Activity Log'!$J$6:$J$1005,"No",'Activity Log'!$I$6:$I$1005,"&gt;0")))</x:f>
      </x:c>
      <x:c r="R500" s="57" t="str">
        <x:f>IF($C500="","",IF(OR($K500="Won",$K500="Lost",$K500="Disqualified"),"Closed",IF($Q500="","No date",IF(INT($Q500)&lt;TODAY(),"Overdue",IF(INT($Q500)=TODAY(),"Today",IF(INT($Q500)&lt;=TODAY()+7,"Next 7 days","Later"))))))</x:f>
      </x:c>
      <x:c r="S500" s="57" t="str">
        <x:f>IF(OR($C500="",$P500=""),"",TODAY()-INT($P500))</x:f>
      </x:c>
      <x:c r="T500" s="54"/>
      <x:c r="U500" s="54"/>
      <x:c r="V500" s="63"/>
      <x:c r="W500" s="74"/>
      <x:c r="X500" s="77" t="str">
        <x:f>IF($C500="","",IFERROR(VLOOKUP($M500,'Lists &amp; Rules'!$L$5:$N$13,2,FALSE),0))</x:f>
      </x:c>
      <x:c r="Y500" s="80" t="str">
        <x:f>IF(OR($C500="",$W500=""),"",ROUND($W500*$X500,0))</x:f>
      </x:c>
      <x:c r="Z500" s="57" t="str">
        <x:f>IF($A500="","",COUNTIF('Activity Log'!$C$6:$C$1005,$A500))</x:f>
      </x:c>
      <x:c r="AA500" s="68"/>
      <x:c r="AB500" s="63"/>
    </x:row>
    <x:row r="501">
      <x:c r="A501" s="54"/>
      <x:c r="B501" s="68"/>
      <x:c r="C501" s="54"/>
      <x:c r="D501" s="54"/>
      <x:c r="E501" s="54"/>
      <x:c r="F501" s="54"/>
      <x:c r="G501" s="54"/>
      <x:c r="H501" s="54"/>
      <x:c r="I501" s="54"/>
      <x:c r="J501" s="54"/>
      <x:c r="K501" s="54"/>
      <x:c r="L501" s="54"/>
      <x:c r="M501" s="54"/>
      <x:c r="N501" s="54"/>
      <x:c r="O501" s="57" t="str">
        <x:f>IF($C501="","",MAX(0,MIN(100,IFERROR(VLOOKUP($L501,'Lists &amp; Rules'!$P$5:$Q$8,2,FALSE),0)+IFERROR(VLOOKUP($N501,'Lists &amp; Rules'!$S$5:$T$7,2,FALSE),0)+IFERROR(VLOOKUP($M501,'Lists &amp; Rules'!$L$5:$N$13,3,FALSE),0)+IF($R501="Overdue",-10,IF($R501="Today",5,0))+MIN(15,$Z501*3))))</x:f>
      </x:c>
      <x:c r="P501" s="71" t="str">
        <x:f>IF($A501="","",IF(COUNTIF('Activity Log'!$C$6:$C$1005,$A501)=0,"",MAXIFS('Activity Log'!$B$6:$B$1005,'Activity Log'!$C$6:$C$1005,$A501)))</x:f>
      </x:c>
      <x:c r="Q501" s="71" t="str">
        <x:f>IF($A501="","",IF(COUNTIFS('Activity Log'!$C$6:$C$1005,$A501,'Activity Log'!$J$6:$J$1005,"No",'Activity Log'!$I$6:$I$1005,"&gt;0")=0,"",MINIFS('Activity Log'!$I$6:$I$1005,'Activity Log'!$C$6:$C$1005,$A501,'Activity Log'!$J$6:$J$1005,"No",'Activity Log'!$I$6:$I$1005,"&gt;0")))</x:f>
      </x:c>
      <x:c r="R501" s="57" t="str">
        <x:f>IF($C501="","",IF(OR($K501="Won",$K501="Lost",$K501="Disqualified"),"Closed",IF($Q501="","No date",IF(INT($Q501)&lt;TODAY(),"Overdue",IF(INT($Q501)=TODAY(),"Today",IF(INT($Q501)&lt;=TODAY()+7,"Next 7 days","Later"))))))</x:f>
      </x:c>
      <x:c r="S501" s="57" t="str">
        <x:f>IF(OR($C501="",$P501=""),"",TODAY()-INT($P501))</x:f>
      </x:c>
      <x:c r="T501" s="54"/>
      <x:c r="U501" s="54"/>
      <x:c r="V501" s="63"/>
      <x:c r="W501" s="74"/>
      <x:c r="X501" s="77" t="str">
        <x:f>IF($C501="","",IFERROR(VLOOKUP($M501,'Lists &amp; Rules'!$L$5:$N$13,2,FALSE),0))</x:f>
      </x:c>
      <x:c r="Y501" s="80" t="str">
        <x:f>IF(OR($C501="",$W501=""),"",ROUND($W501*$X501,0))</x:f>
      </x:c>
      <x:c r="Z501" s="57" t="str">
        <x:f>IF($A501="","",COUNTIF('Activity Log'!$C$6:$C$1005,$A501))</x:f>
      </x:c>
      <x:c r="AA501" s="68"/>
      <x:c r="AB501" s="63"/>
    </x:row>
    <x:row r="502">
      <x:c r="A502" s="54"/>
      <x:c r="B502" s="68"/>
      <x:c r="C502" s="54"/>
      <x:c r="D502" s="54"/>
      <x:c r="E502" s="54"/>
      <x:c r="F502" s="54"/>
      <x:c r="G502" s="54"/>
      <x:c r="H502" s="54"/>
      <x:c r="I502" s="54"/>
      <x:c r="J502" s="54"/>
      <x:c r="K502" s="54"/>
      <x:c r="L502" s="54"/>
      <x:c r="M502" s="54"/>
      <x:c r="N502" s="54"/>
      <x:c r="O502" s="57" t="str">
        <x:f>IF($C502="","",MAX(0,MIN(100,IFERROR(VLOOKUP($L502,'Lists &amp; Rules'!$P$5:$Q$8,2,FALSE),0)+IFERROR(VLOOKUP($N502,'Lists &amp; Rules'!$S$5:$T$7,2,FALSE),0)+IFERROR(VLOOKUP($M502,'Lists &amp; Rules'!$L$5:$N$13,3,FALSE),0)+IF($R502="Overdue",-10,IF($R502="Today",5,0))+MIN(15,$Z502*3))))</x:f>
      </x:c>
      <x:c r="P502" s="71" t="str">
        <x:f>IF($A502="","",IF(COUNTIF('Activity Log'!$C$6:$C$1005,$A502)=0,"",MAXIFS('Activity Log'!$B$6:$B$1005,'Activity Log'!$C$6:$C$1005,$A502)))</x:f>
      </x:c>
      <x:c r="Q502" s="71" t="str">
        <x:f>IF($A502="","",IF(COUNTIFS('Activity Log'!$C$6:$C$1005,$A502,'Activity Log'!$J$6:$J$1005,"No",'Activity Log'!$I$6:$I$1005,"&gt;0")=0,"",MINIFS('Activity Log'!$I$6:$I$1005,'Activity Log'!$C$6:$C$1005,$A502,'Activity Log'!$J$6:$J$1005,"No",'Activity Log'!$I$6:$I$1005,"&gt;0")))</x:f>
      </x:c>
      <x:c r="R502" s="57" t="str">
        <x:f>IF($C502="","",IF(OR($K502="Won",$K502="Lost",$K502="Disqualified"),"Closed",IF($Q502="","No date",IF(INT($Q502)&lt;TODAY(),"Overdue",IF(INT($Q502)=TODAY(),"Today",IF(INT($Q502)&lt;=TODAY()+7,"Next 7 days","Later"))))))</x:f>
      </x:c>
      <x:c r="S502" s="57" t="str">
        <x:f>IF(OR($C502="",$P502=""),"",TODAY()-INT($P502))</x:f>
      </x:c>
      <x:c r="T502" s="54"/>
      <x:c r="U502" s="54"/>
      <x:c r="V502" s="63"/>
      <x:c r="W502" s="74"/>
      <x:c r="X502" s="77" t="str">
        <x:f>IF($C502="","",IFERROR(VLOOKUP($M502,'Lists &amp; Rules'!$L$5:$N$13,2,FALSE),0))</x:f>
      </x:c>
      <x:c r="Y502" s="80" t="str">
        <x:f>IF(OR($C502="",$W502=""),"",ROUND($W502*$X502,0))</x:f>
      </x:c>
      <x:c r="Z502" s="57" t="str">
        <x:f>IF($A502="","",COUNTIF('Activity Log'!$C$6:$C$1005,$A502))</x:f>
      </x:c>
      <x:c r="AA502" s="68"/>
      <x:c r="AB502" s="63"/>
    </x:row>
    <x:row r="503">
      <x:c r="A503" s="54"/>
      <x:c r="B503" s="68"/>
      <x:c r="C503" s="54"/>
      <x:c r="D503" s="54"/>
      <x:c r="E503" s="54"/>
      <x:c r="F503" s="54"/>
      <x:c r="G503" s="54"/>
      <x:c r="H503" s="54"/>
      <x:c r="I503" s="54"/>
      <x:c r="J503" s="54"/>
      <x:c r="K503" s="54"/>
      <x:c r="L503" s="54"/>
      <x:c r="M503" s="54"/>
      <x:c r="N503" s="54"/>
      <x:c r="O503" s="57" t="str">
        <x:f>IF($C503="","",MAX(0,MIN(100,IFERROR(VLOOKUP($L503,'Lists &amp; Rules'!$P$5:$Q$8,2,FALSE),0)+IFERROR(VLOOKUP($N503,'Lists &amp; Rules'!$S$5:$T$7,2,FALSE),0)+IFERROR(VLOOKUP($M503,'Lists &amp; Rules'!$L$5:$N$13,3,FALSE),0)+IF($R503="Overdue",-10,IF($R503="Today",5,0))+MIN(15,$Z503*3))))</x:f>
      </x:c>
      <x:c r="P503" s="71" t="str">
        <x:f>IF($A503="","",IF(COUNTIF('Activity Log'!$C$6:$C$1005,$A503)=0,"",MAXIFS('Activity Log'!$B$6:$B$1005,'Activity Log'!$C$6:$C$1005,$A503)))</x:f>
      </x:c>
      <x:c r="Q503" s="71" t="str">
        <x:f>IF($A503="","",IF(COUNTIFS('Activity Log'!$C$6:$C$1005,$A503,'Activity Log'!$J$6:$J$1005,"No",'Activity Log'!$I$6:$I$1005,"&gt;0")=0,"",MINIFS('Activity Log'!$I$6:$I$1005,'Activity Log'!$C$6:$C$1005,$A503,'Activity Log'!$J$6:$J$1005,"No",'Activity Log'!$I$6:$I$1005,"&gt;0")))</x:f>
      </x:c>
      <x:c r="R503" s="57" t="str">
        <x:f>IF($C503="","",IF(OR($K503="Won",$K503="Lost",$K503="Disqualified"),"Closed",IF($Q503="","No date",IF(INT($Q503)&lt;TODAY(),"Overdue",IF(INT($Q503)=TODAY(),"Today",IF(INT($Q503)&lt;=TODAY()+7,"Next 7 days","Later"))))))</x:f>
      </x:c>
      <x:c r="S503" s="57" t="str">
        <x:f>IF(OR($C503="",$P503=""),"",TODAY()-INT($P503))</x:f>
      </x:c>
      <x:c r="T503" s="54"/>
      <x:c r="U503" s="54"/>
      <x:c r="V503" s="63"/>
      <x:c r="W503" s="74"/>
      <x:c r="X503" s="77" t="str">
        <x:f>IF($C503="","",IFERROR(VLOOKUP($M503,'Lists &amp; Rules'!$L$5:$N$13,2,FALSE),0))</x:f>
      </x:c>
      <x:c r="Y503" s="80" t="str">
        <x:f>IF(OR($C503="",$W503=""),"",ROUND($W503*$X503,0))</x:f>
      </x:c>
      <x:c r="Z503" s="57" t="str">
        <x:f>IF($A503="","",COUNTIF('Activity Log'!$C$6:$C$1005,$A503))</x:f>
      </x:c>
      <x:c r="AA503" s="68"/>
      <x:c r="AB503" s="63"/>
    </x:row>
    <x:row r="504">
      <x:c r="A504" s="54"/>
      <x:c r="B504" s="68"/>
      <x:c r="C504" s="54"/>
      <x:c r="D504" s="54"/>
      <x:c r="E504" s="54"/>
      <x:c r="F504" s="54"/>
      <x:c r="G504" s="54"/>
      <x:c r="H504" s="54"/>
      <x:c r="I504" s="54"/>
      <x:c r="J504" s="54"/>
      <x:c r="K504" s="54"/>
      <x:c r="L504" s="54"/>
      <x:c r="M504" s="54"/>
      <x:c r="N504" s="54"/>
      <x:c r="O504" s="57" t="str">
        <x:f>IF($C504="","",MAX(0,MIN(100,IFERROR(VLOOKUP($L504,'Lists &amp; Rules'!$P$5:$Q$8,2,FALSE),0)+IFERROR(VLOOKUP($N504,'Lists &amp; Rules'!$S$5:$T$7,2,FALSE),0)+IFERROR(VLOOKUP($M504,'Lists &amp; Rules'!$L$5:$N$13,3,FALSE),0)+IF($R504="Overdue",-10,IF($R504="Today",5,0))+MIN(15,$Z504*3))))</x:f>
      </x:c>
      <x:c r="P504" s="71" t="str">
        <x:f>IF($A504="","",IF(COUNTIF('Activity Log'!$C$6:$C$1005,$A504)=0,"",MAXIFS('Activity Log'!$B$6:$B$1005,'Activity Log'!$C$6:$C$1005,$A504)))</x:f>
      </x:c>
      <x:c r="Q504" s="71" t="str">
        <x:f>IF($A504="","",IF(COUNTIFS('Activity Log'!$C$6:$C$1005,$A504,'Activity Log'!$J$6:$J$1005,"No",'Activity Log'!$I$6:$I$1005,"&gt;0")=0,"",MINIFS('Activity Log'!$I$6:$I$1005,'Activity Log'!$C$6:$C$1005,$A504,'Activity Log'!$J$6:$J$1005,"No",'Activity Log'!$I$6:$I$1005,"&gt;0")))</x:f>
      </x:c>
      <x:c r="R504" s="57" t="str">
        <x:f>IF($C504="","",IF(OR($K504="Won",$K504="Lost",$K504="Disqualified"),"Closed",IF($Q504="","No date",IF(INT($Q504)&lt;TODAY(),"Overdue",IF(INT($Q504)=TODAY(),"Today",IF(INT($Q504)&lt;=TODAY()+7,"Next 7 days","Later"))))))</x:f>
      </x:c>
      <x:c r="S504" s="57" t="str">
        <x:f>IF(OR($C504="",$P504=""),"",TODAY()-INT($P504))</x:f>
      </x:c>
      <x:c r="T504" s="54"/>
      <x:c r="U504" s="54"/>
      <x:c r="V504" s="63"/>
      <x:c r="W504" s="74"/>
      <x:c r="X504" s="77" t="str">
        <x:f>IF($C504="","",IFERROR(VLOOKUP($M504,'Lists &amp; Rules'!$L$5:$N$13,2,FALSE),0))</x:f>
      </x:c>
      <x:c r="Y504" s="80" t="str">
        <x:f>IF(OR($C504="",$W504=""),"",ROUND($W504*$X504,0))</x:f>
      </x:c>
      <x:c r="Z504" s="57" t="str">
        <x:f>IF($A504="","",COUNTIF('Activity Log'!$C$6:$C$1005,$A504))</x:f>
      </x:c>
      <x:c r="AA504" s="68"/>
      <x:c r="AB504" s="63"/>
    </x:row>
    <x:row r="505">
      <x:c r="A505" s="55"/>
      <x:c r="B505" s="69"/>
      <x:c r="C505" s="55"/>
      <x:c r="D505" s="55"/>
      <x:c r="E505" s="55"/>
      <x:c r="F505" s="55"/>
      <x:c r="G505" s="55"/>
      <x:c r="H505" s="55"/>
      <x:c r="I505" s="55"/>
      <x:c r="J505" s="55"/>
      <x:c r="K505" s="55"/>
      <x:c r="L505" s="55"/>
      <x:c r="M505" s="55"/>
      <x:c r="N505" s="55"/>
      <x:c r="O505" s="58" t="str">
        <x:f>IF($C505="","",MAX(0,MIN(100,IFERROR(VLOOKUP($L505,'Lists &amp; Rules'!$P$5:$Q$8,2,FALSE),0)+IFERROR(VLOOKUP($N505,'Lists &amp; Rules'!$S$5:$T$7,2,FALSE),0)+IFERROR(VLOOKUP($M505,'Lists &amp; Rules'!$L$5:$N$13,3,FALSE),0)+IF($R505="Overdue",-10,IF($R505="Today",5,0))+MIN(15,$Z505*3))))</x:f>
      </x:c>
      <x:c r="P505" s="72" t="str">
        <x:f>IF($A505="","",IF(COUNTIF('Activity Log'!$C$6:$C$1005,$A505)=0,"",MAXIFS('Activity Log'!$B$6:$B$1005,'Activity Log'!$C$6:$C$1005,$A505)))</x:f>
      </x:c>
      <x:c r="Q505" s="72" t="str">
        <x:f>IF($A505="","",IF(COUNTIFS('Activity Log'!$C$6:$C$1005,$A505,'Activity Log'!$J$6:$J$1005,"No",'Activity Log'!$I$6:$I$1005,"&gt;0")=0,"",MINIFS('Activity Log'!$I$6:$I$1005,'Activity Log'!$C$6:$C$1005,$A505,'Activity Log'!$J$6:$J$1005,"No",'Activity Log'!$I$6:$I$1005,"&gt;0")))</x:f>
      </x:c>
      <x:c r="R505" s="58" t="str">
        <x:f>IF($C505="","",IF(OR($K505="Won",$K505="Lost",$K505="Disqualified"),"Closed",IF($Q505="","No date",IF(INT($Q505)&lt;TODAY(),"Overdue",IF(INT($Q505)=TODAY(),"Today",IF(INT($Q505)&lt;=TODAY()+7,"Next 7 days","Later"))))))</x:f>
      </x:c>
      <x:c r="S505" s="58" t="str">
        <x:f>IF(OR($C505="",$P505=""),"",TODAY()-INT($P505))</x:f>
      </x:c>
      <x:c r="T505" s="55"/>
      <x:c r="U505" s="55"/>
      <x:c r="V505" s="64"/>
      <x:c r="W505" s="75"/>
      <x:c r="X505" s="78" t="str">
        <x:f>IF($C505="","",IFERROR(VLOOKUP($M505,'Lists &amp; Rules'!$L$5:$N$13,2,FALSE),0))</x:f>
      </x:c>
      <x:c r="Y505" s="81" t="str">
        <x:f>IF(OR($C505="",$W505=""),"",ROUND($W505*$X505,0))</x:f>
      </x:c>
      <x:c r="Z505" s="58" t="str">
        <x:f>IF($A505="","",COUNTIF('Activity Log'!$C$6:$C$1005,$A505))</x:f>
      </x:c>
      <x:c r="AA505" s="69"/>
      <x:c r="AB505" s="64"/>
    </x:row>
  </x:sheetData>
  <x:mergeCells>
    <x:mergeCell ref="A1:AB1"/>
    <x:mergeCell ref="A2:AB2"/>
    <x:mergeCell ref="A3:AB3"/>
  </x:mergeCells>
  <x:conditionalFormatting sqref="A6:A505">
    <x:cfRule type="expression" dxfId="3" priority="1">
      <x:formula>AND($A6&lt;&gt;"",COUNTIF($A$6:$A$505,$A6)&gt;1)</x:formula>
    </x:cfRule>
  </x:conditionalFormatting>
  <x:conditionalFormatting sqref="O6:O505">
    <x:cfRule type="expression" dxfId="4" priority="2">
      <x:formula>AND($O6&lt;&gt;"",$O6&lt;40)</x:formula>
    </x:cfRule>
    <x:cfRule type="expression" dxfId="5" priority="3">
      <x:formula>AND($O6&lt;&gt;"",$O6&gt;=40,$O6&lt;70)</x:formula>
    </x:cfRule>
    <x:cfRule type="expression" dxfId="6" priority="4">
      <x:formula>AND($O6&lt;&gt;"",$O6&gt;=70)</x:formula>
    </x:cfRule>
  </x:conditionalFormatting>
  <x:conditionalFormatting sqref="R6:R505">
    <x:cfRule type="containsText" dxfId="7" priority="5" operator="containsText" text="Overdue"/>
    <x:cfRule type="containsText" dxfId="8" priority="6" operator="containsText" text="Today"/>
    <x:cfRule type="containsText" dxfId="9" priority="7" operator="containsText" text="Next 7 days"/>
    <x:cfRule type="containsText" dxfId="10" priority="8" operator="containsText" text="Closed"/>
  </x:conditionalFormatting>
  <x:conditionalFormatting sqref="L6:L505">
    <x:cfRule type="containsText" dxfId="11" priority="9" operator="containsText" text="Yes"/>
  </x:conditionalFormatting>
  <x:conditionalFormatting sqref="N6:N505">
    <x:cfRule type="containsText" dxfId="12" priority="10" operator="containsText" text="High"/>
  </x:conditionalFormatting>
  <x:dataValidations count="7">
    <x:dataValidation type="list" sqref="I6:I505">
      <x:formula1>'Lists &amp; Rules'!$E$5:$E$14</x:formula1>
    </x:dataValidation>
    <x:dataValidation type="list" sqref="J6:J505">
      <x:formula1>'Lists &amp; Rules'!$J$5:$J$14</x:formula1>
    </x:dataValidation>
    <x:dataValidation type="list" sqref="K6:K505">
      <x:formula1>'Lists &amp; Rules'!$A$5:$A$10</x:formula1>
    </x:dataValidation>
    <x:dataValidation type="list" sqref="L6:L505">
      <x:formula1>'Lists &amp; Rules'!$B$5:$B$8</x:formula1>
    </x:dataValidation>
    <x:dataValidation type="list" sqref="M6:M505">
      <x:formula1>'Lists &amp; Rules'!$C$5:$C$13</x:formula1>
    </x:dataValidation>
    <x:dataValidation type="list" sqref="N6:N505">
      <x:formula1>'Lists &amp; Rules'!$D$5:$D$7</x:formula1>
    </x:dataValidation>
    <x:dataValidation type="list" sqref="T6:T505">
      <x:formula1>'Lists &amp; Rules'!$F$5:$F$8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92d00da234e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4" hidden="0" customWidth="1"/>
    <x:col min="4" max="4" width="22" hidden="0" customWidth="1"/>
    <x:col min="5" max="5" width="17" hidden="0" customWidth="1"/>
    <x:col min="6" max="6" width="13" hidden="0" customWidth="1"/>
    <x:col min="7" max="7" width="38" hidden="0" customWidth="1"/>
    <x:col min="8" max="8" width="20" hidden="0" customWidth="1"/>
    <x:col min="9" max="9" width="19" hidden="0" customWidth="1"/>
    <x:col min="10" max="10" width="21" hidden="0" customWidth="1"/>
    <x:col min="11" max="11" width="15" hidden="0" customWidth="1"/>
    <x:col min="12" max="12" width="26" hidden="0" customWidth="1"/>
    <x:col min="13" max="13" width="32" hidden="0" customWidth="1"/>
  </x:cols>
  <x:sheetData>
    <x:row r="1" ht="34" customHeight="1">
      <x:c r="A1" s="3" t="str">
        <x:v>Activity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Log every message, call, meeting, and reply. Pending follow-ups automatically flow into the Leads sheet.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45" t="str">
        <x:v>Yellow cells are inputs. Blue cells are formulas. Mark a follow-up Yes only after it is completed, then log the new interaction.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</x:row>
    <x:row r="5" ht="34" customHeight="1">
      <x:c r="A5" s="9" t="str">
        <x:v>Activity ID</x:v>
      </x:c>
      <x:c r="B5" s="9" t="str">
        <x:v>Date &amp; Time</x:v>
      </x:c>
      <x:c r="C5" s="9" t="str">
        <x:v>Lead ID</x:v>
      </x:c>
      <x:c r="D5" s="9" t="str">
        <x:v>Contact Name</x:v>
      </x:c>
      <x:c r="E5" s="9" t="str">
        <x:v>Channel</x:v>
      </x:c>
      <x:c r="F5" s="9" t="str">
        <x:v>Direction</x:v>
      </x:c>
      <x:c r="G5" s="9" t="str">
        <x:v>Summary / Message</x:v>
      </x:c>
      <x:c r="H5" s="9" t="str">
        <x:v>Outcome</x:v>
      </x:c>
      <x:c r="I5" s="9" t="str">
        <x:v>Next Follow-Up</x:v>
      </x:c>
      <x:c r="J5" s="9" t="str">
        <x:v>Follow-Up Completed?</x:v>
      </x:c>
      <x:c r="K5" s="9" t="str">
        <x:v>Owner</x:v>
      </x:c>
      <x:c r="L5" s="9" t="str">
        <x:v>Link / Attachment</x:v>
      </x:c>
      <x:c r="M5" s="9" t="str">
        <x:v>Notes</x:v>
      </x:c>
    </x:row>
    <x:row r="6">
      <x:c r="A6" s="53"/>
      <x:c r="B6" s="59"/>
      <x:c r="C6" s="53"/>
      <x:c r="D6" s="56" t="str">
        <x:f>IF($C6="","",IFERROR(VLOOKUP($C6,'Leads'!$A$6:$C$505,3,FALSE),"Lead ID not found"))</x:f>
      </x:c>
      <x:c r="E6" s="53"/>
      <x:c r="F6" s="53"/>
      <x:c r="G6" s="62"/>
      <x:c r="H6" s="53"/>
      <x:c r="I6" s="59"/>
      <x:c r="J6" s="53"/>
      <x:c r="K6" s="53"/>
      <x:c r="L6" s="53"/>
      <x:c r="M6" s="62"/>
    </x:row>
    <x:row r="7">
      <x:c r="A7" s="54"/>
      <x:c r="B7" s="60"/>
      <x:c r="C7" s="54"/>
      <x:c r="D7" s="57" t="str">
        <x:f>IF($C7="","",IFERROR(VLOOKUP($C7,'Leads'!$A$6:$C$505,3,FALSE),"Lead ID not found"))</x:f>
      </x:c>
      <x:c r="E7" s="54"/>
      <x:c r="F7" s="54"/>
      <x:c r="G7" s="63"/>
      <x:c r="H7" s="54"/>
      <x:c r="I7" s="60"/>
      <x:c r="J7" s="54"/>
      <x:c r="K7" s="54"/>
      <x:c r="L7" s="54"/>
      <x:c r="M7" s="63"/>
    </x:row>
    <x:row r="8">
      <x:c r="A8" s="54"/>
      <x:c r="B8" s="60"/>
      <x:c r="C8" s="54"/>
      <x:c r="D8" s="57" t="str">
        <x:f>IF($C8="","",IFERROR(VLOOKUP($C8,'Leads'!$A$6:$C$505,3,FALSE),"Lead ID not found"))</x:f>
      </x:c>
      <x:c r="E8" s="54"/>
      <x:c r="F8" s="54"/>
      <x:c r="G8" s="63"/>
      <x:c r="H8" s="54"/>
      <x:c r="I8" s="60"/>
      <x:c r="J8" s="54"/>
      <x:c r="K8" s="54"/>
      <x:c r="L8" s="54"/>
      <x:c r="M8" s="63"/>
    </x:row>
    <x:row r="9">
      <x:c r="A9" s="54"/>
      <x:c r="B9" s="60"/>
      <x:c r="C9" s="54"/>
      <x:c r="D9" s="57" t="str">
        <x:f>IF($C9="","",IFERROR(VLOOKUP($C9,'Leads'!$A$6:$C$505,3,FALSE),"Lead ID not found"))</x:f>
      </x:c>
      <x:c r="E9" s="54"/>
      <x:c r="F9" s="54"/>
      <x:c r="G9" s="63"/>
      <x:c r="H9" s="54"/>
      <x:c r="I9" s="60"/>
      <x:c r="J9" s="54"/>
      <x:c r="K9" s="54"/>
      <x:c r="L9" s="54"/>
      <x:c r="M9" s="63"/>
    </x:row>
    <x:row r="10">
      <x:c r="A10" s="54"/>
      <x:c r="B10" s="60"/>
      <x:c r="C10" s="54"/>
      <x:c r="D10" s="57" t="str">
        <x:f>IF($C10="","",IFERROR(VLOOKUP($C10,'Leads'!$A$6:$C$505,3,FALSE),"Lead ID not found"))</x:f>
      </x:c>
      <x:c r="E10" s="54"/>
      <x:c r="F10" s="54"/>
      <x:c r="G10" s="63"/>
      <x:c r="H10" s="54"/>
      <x:c r="I10" s="60"/>
      <x:c r="J10" s="54"/>
      <x:c r="K10" s="54"/>
      <x:c r="L10" s="54"/>
      <x:c r="M10" s="63"/>
    </x:row>
    <x:row r="11">
      <x:c r="A11" s="54"/>
      <x:c r="B11" s="60"/>
      <x:c r="C11" s="54"/>
      <x:c r="D11" s="57" t="str">
        <x:f>IF($C11="","",IFERROR(VLOOKUP($C11,'Leads'!$A$6:$C$505,3,FALSE),"Lead ID not found"))</x:f>
      </x:c>
      <x:c r="E11" s="54"/>
      <x:c r="F11" s="54"/>
      <x:c r="G11" s="63"/>
      <x:c r="H11" s="54"/>
      <x:c r="I11" s="60"/>
      <x:c r="J11" s="54"/>
      <x:c r="K11" s="54"/>
      <x:c r="L11" s="54"/>
      <x:c r="M11" s="63"/>
    </x:row>
    <x:row r="12">
      <x:c r="A12" s="54"/>
      <x:c r="B12" s="60"/>
      <x:c r="C12" s="54"/>
      <x:c r="D12" s="57" t="str">
        <x:f>IF($C12="","",IFERROR(VLOOKUP($C12,'Leads'!$A$6:$C$505,3,FALSE),"Lead ID not found"))</x:f>
      </x:c>
      <x:c r="E12" s="54"/>
      <x:c r="F12" s="54"/>
      <x:c r="G12" s="63"/>
      <x:c r="H12" s="54"/>
      <x:c r="I12" s="60"/>
      <x:c r="J12" s="54"/>
      <x:c r="K12" s="54"/>
      <x:c r="L12" s="54"/>
      <x:c r="M12" s="63"/>
    </x:row>
    <x:row r="13">
      <x:c r="A13" s="54"/>
      <x:c r="B13" s="60"/>
      <x:c r="C13" s="54"/>
      <x:c r="D13" s="57" t="str">
        <x:f>IF($C13="","",IFERROR(VLOOKUP($C13,'Leads'!$A$6:$C$505,3,FALSE),"Lead ID not found"))</x:f>
      </x:c>
      <x:c r="E13" s="54"/>
      <x:c r="F13" s="54"/>
      <x:c r="G13" s="63"/>
      <x:c r="H13" s="54"/>
      <x:c r="I13" s="60"/>
      <x:c r="J13" s="54"/>
      <x:c r="K13" s="54"/>
      <x:c r="L13" s="54"/>
      <x:c r="M13" s="63"/>
    </x:row>
    <x:row r="14">
      <x:c r="A14" s="54"/>
      <x:c r="B14" s="60"/>
      <x:c r="C14" s="54"/>
      <x:c r="D14" s="57" t="str">
        <x:f>IF($C14="","",IFERROR(VLOOKUP($C14,'Leads'!$A$6:$C$505,3,FALSE),"Lead ID not found"))</x:f>
      </x:c>
      <x:c r="E14" s="54"/>
      <x:c r="F14" s="54"/>
      <x:c r="G14" s="63"/>
      <x:c r="H14" s="54"/>
      <x:c r="I14" s="60"/>
      <x:c r="J14" s="54"/>
      <x:c r="K14" s="54"/>
      <x:c r="L14" s="54"/>
      <x:c r="M14" s="63"/>
    </x:row>
    <x:row r="15">
      <x:c r="A15" s="54"/>
      <x:c r="B15" s="60"/>
      <x:c r="C15" s="54"/>
      <x:c r="D15" s="57" t="str">
        <x:f>IF($C15="","",IFERROR(VLOOKUP($C15,'Leads'!$A$6:$C$505,3,FALSE),"Lead ID not found"))</x:f>
      </x:c>
      <x:c r="E15" s="54"/>
      <x:c r="F15" s="54"/>
      <x:c r="G15" s="63"/>
      <x:c r="H15" s="54"/>
      <x:c r="I15" s="60"/>
      <x:c r="J15" s="54"/>
      <x:c r="K15" s="54"/>
      <x:c r="L15" s="54"/>
      <x:c r="M15" s="63"/>
    </x:row>
    <x:row r="16">
      <x:c r="A16" s="54"/>
      <x:c r="B16" s="60"/>
      <x:c r="C16" s="54"/>
      <x:c r="D16" s="57" t="str">
        <x:f>IF($C16="","",IFERROR(VLOOKUP($C16,'Leads'!$A$6:$C$505,3,FALSE),"Lead ID not found"))</x:f>
      </x:c>
      <x:c r="E16" s="54"/>
      <x:c r="F16" s="54"/>
      <x:c r="G16" s="63"/>
      <x:c r="H16" s="54"/>
      <x:c r="I16" s="60"/>
      <x:c r="J16" s="54"/>
      <x:c r="K16" s="54"/>
      <x:c r="L16" s="54"/>
      <x:c r="M16" s="63"/>
    </x:row>
    <x:row r="17">
      <x:c r="A17" s="54"/>
      <x:c r="B17" s="60"/>
      <x:c r="C17" s="54"/>
      <x:c r="D17" s="57" t="str">
        <x:f>IF($C17="","",IFERROR(VLOOKUP($C17,'Leads'!$A$6:$C$505,3,FALSE),"Lead ID not found"))</x:f>
      </x:c>
      <x:c r="E17" s="54"/>
      <x:c r="F17" s="54"/>
      <x:c r="G17" s="63"/>
      <x:c r="H17" s="54"/>
      <x:c r="I17" s="60"/>
      <x:c r="J17" s="54"/>
      <x:c r="K17" s="54"/>
      <x:c r="L17" s="54"/>
      <x:c r="M17" s="63"/>
    </x:row>
    <x:row r="18">
      <x:c r="A18" s="54"/>
      <x:c r="B18" s="60"/>
      <x:c r="C18" s="54"/>
      <x:c r="D18" s="57" t="str">
        <x:f>IF($C18="","",IFERROR(VLOOKUP($C18,'Leads'!$A$6:$C$505,3,FALSE),"Lead ID not found"))</x:f>
      </x:c>
      <x:c r="E18" s="54"/>
      <x:c r="F18" s="54"/>
      <x:c r="G18" s="63"/>
      <x:c r="H18" s="54"/>
      <x:c r="I18" s="60"/>
      <x:c r="J18" s="54"/>
      <x:c r="K18" s="54"/>
      <x:c r="L18" s="54"/>
      <x:c r="M18" s="63"/>
    </x:row>
    <x:row r="19">
      <x:c r="A19" s="54"/>
      <x:c r="B19" s="60"/>
      <x:c r="C19" s="54"/>
      <x:c r="D19" s="57" t="str">
        <x:f>IF($C19="","",IFERROR(VLOOKUP($C19,'Leads'!$A$6:$C$505,3,FALSE),"Lead ID not found"))</x:f>
      </x:c>
      <x:c r="E19" s="54"/>
      <x:c r="F19" s="54"/>
      <x:c r="G19" s="63"/>
      <x:c r="H19" s="54"/>
      <x:c r="I19" s="60"/>
      <x:c r="J19" s="54"/>
      <x:c r="K19" s="54"/>
      <x:c r="L19" s="54"/>
      <x:c r="M19" s="63"/>
    </x:row>
    <x:row r="20">
      <x:c r="A20" s="54"/>
      <x:c r="B20" s="60"/>
      <x:c r="C20" s="54"/>
      <x:c r="D20" s="57" t="str">
        <x:f>IF($C20="","",IFERROR(VLOOKUP($C20,'Leads'!$A$6:$C$505,3,FALSE),"Lead ID not found"))</x:f>
      </x:c>
      <x:c r="E20" s="54"/>
      <x:c r="F20" s="54"/>
      <x:c r="G20" s="63"/>
      <x:c r="H20" s="54"/>
      <x:c r="I20" s="60"/>
      <x:c r="J20" s="54"/>
      <x:c r="K20" s="54"/>
      <x:c r="L20" s="54"/>
      <x:c r="M20" s="63"/>
    </x:row>
    <x:row r="21">
      <x:c r="A21" s="54"/>
      <x:c r="B21" s="60"/>
      <x:c r="C21" s="54"/>
      <x:c r="D21" s="57" t="str">
        <x:f>IF($C21="","",IFERROR(VLOOKUP($C21,'Leads'!$A$6:$C$505,3,FALSE),"Lead ID not found"))</x:f>
      </x:c>
      <x:c r="E21" s="54"/>
      <x:c r="F21" s="54"/>
      <x:c r="G21" s="63"/>
      <x:c r="H21" s="54"/>
      <x:c r="I21" s="60"/>
      <x:c r="J21" s="54"/>
      <x:c r="K21" s="54"/>
      <x:c r="L21" s="54"/>
      <x:c r="M21" s="63"/>
    </x:row>
    <x:row r="22">
      <x:c r="A22" s="54"/>
      <x:c r="B22" s="60"/>
      <x:c r="C22" s="54"/>
      <x:c r="D22" s="57" t="str">
        <x:f>IF($C22="","",IFERROR(VLOOKUP($C22,'Leads'!$A$6:$C$505,3,FALSE),"Lead ID not found"))</x:f>
      </x:c>
      <x:c r="E22" s="54"/>
      <x:c r="F22" s="54"/>
      <x:c r="G22" s="63"/>
      <x:c r="H22" s="54"/>
      <x:c r="I22" s="60"/>
      <x:c r="J22" s="54"/>
      <x:c r="K22" s="54"/>
      <x:c r="L22" s="54"/>
      <x:c r="M22" s="63"/>
    </x:row>
    <x:row r="23">
      <x:c r="A23" s="54"/>
      <x:c r="B23" s="60"/>
      <x:c r="C23" s="54"/>
      <x:c r="D23" s="57" t="str">
        <x:f>IF($C23="","",IFERROR(VLOOKUP($C23,'Leads'!$A$6:$C$505,3,FALSE),"Lead ID not found"))</x:f>
      </x:c>
      <x:c r="E23" s="54"/>
      <x:c r="F23" s="54"/>
      <x:c r="G23" s="63"/>
      <x:c r="H23" s="54"/>
      <x:c r="I23" s="60"/>
      <x:c r="J23" s="54"/>
      <x:c r="K23" s="54"/>
      <x:c r="L23" s="54"/>
      <x:c r="M23" s="63"/>
    </x:row>
    <x:row r="24">
      <x:c r="A24" s="54"/>
      <x:c r="B24" s="60"/>
      <x:c r="C24" s="54"/>
      <x:c r="D24" s="57" t="str">
        <x:f>IF($C24="","",IFERROR(VLOOKUP($C24,'Leads'!$A$6:$C$505,3,FALSE),"Lead ID not found"))</x:f>
      </x:c>
      <x:c r="E24" s="54"/>
      <x:c r="F24" s="54"/>
      <x:c r="G24" s="63"/>
      <x:c r="H24" s="54"/>
      <x:c r="I24" s="60"/>
      <x:c r="J24" s="54"/>
      <x:c r="K24" s="54"/>
      <x:c r="L24" s="54"/>
      <x:c r="M24" s="63"/>
    </x:row>
    <x:row r="25">
      <x:c r="A25" s="54"/>
      <x:c r="B25" s="60"/>
      <x:c r="C25" s="54"/>
      <x:c r="D25" s="57" t="str">
        <x:f>IF($C25="","",IFERROR(VLOOKUP($C25,'Leads'!$A$6:$C$505,3,FALSE),"Lead ID not found"))</x:f>
      </x:c>
      <x:c r="E25" s="54"/>
      <x:c r="F25" s="54"/>
      <x:c r="G25" s="63"/>
      <x:c r="H25" s="54"/>
      <x:c r="I25" s="60"/>
      <x:c r="J25" s="54"/>
      <x:c r="K25" s="54"/>
      <x:c r="L25" s="54"/>
      <x:c r="M25" s="63"/>
    </x:row>
    <x:row r="26">
      <x:c r="A26" s="54"/>
      <x:c r="B26" s="60"/>
      <x:c r="C26" s="54"/>
      <x:c r="D26" s="57" t="str">
        <x:f>IF($C26="","",IFERROR(VLOOKUP($C26,'Leads'!$A$6:$C$505,3,FALSE),"Lead ID not found"))</x:f>
      </x:c>
      <x:c r="E26" s="54"/>
      <x:c r="F26" s="54"/>
      <x:c r="G26" s="63"/>
      <x:c r="H26" s="54"/>
      <x:c r="I26" s="60"/>
      <x:c r="J26" s="54"/>
      <x:c r="K26" s="54"/>
      <x:c r="L26" s="54"/>
      <x:c r="M26" s="63"/>
    </x:row>
    <x:row r="27">
      <x:c r="A27" s="54"/>
      <x:c r="B27" s="60"/>
      <x:c r="C27" s="54"/>
      <x:c r="D27" s="57" t="str">
        <x:f>IF($C27="","",IFERROR(VLOOKUP($C27,'Leads'!$A$6:$C$505,3,FALSE),"Lead ID not found"))</x:f>
      </x:c>
      <x:c r="E27" s="54"/>
      <x:c r="F27" s="54"/>
      <x:c r="G27" s="63"/>
      <x:c r="H27" s="54"/>
      <x:c r="I27" s="60"/>
      <x:c r="J27" s="54"/>
      <x:c r="K27" s="54"/>
      <x:c r="L27" s="54"/>
      <x:c r="M27" s="63"/>
    </x:row>
    <x:row r="28">
      <x:c r="A28" s="54"/>
      <x:c r="B28" s="60"/>
      <x:c r="C28" s="54"/>
      <x:c r="D28" s="57" t="str">
        <x:f>IF($C28="","",IFERROR(VLOOKUP($C28,'Leads'!$A$6:$C$505,3,FALSE),"Lead ID not found"))</x:f>
      </x:c>
      <x:c r="E28" s="54"/>
      <x:c r="F28" s="54"/>
      <x:c r="G28" s="63"/>
      <x:c r="H28" s="54"/>
      <x:c r="I28" s="60"/>
      <x:c r="J28" s="54"/>
      <x:c r="K28" s="54"/>
      <x:c r="L28" s="54"/>
      <x:c r="M28" s="63"/>
    </x:row>
    <x:row r="29">
      <x:c r="A29" s="54"/>
      <x:c r="B29" s="60"/>
      <x:c r="C29" s="54"/>
      <x:c r="D29" s="57" t="str">
        <x:f>IF($C29="","",IFERROR(VLOOKUP($C29,'Leads'!$A$6:$C$505,3,FALSE),"Lead ID not found"))</x:f>
      </x:c>
      <x:c r="E29" s="54"/>
      <x:c r="F29" s="54"/>
      <x:c r="G29" s="63"/>
      <x:c r="H29" s="54"/>
      <x:c r="I29" s="60"/>
      <x:c r="J29" s="54"/>
      <x:c r="K29" s="54"/>
      <x:c r="L29" s="54"/>
      <x:c r="M29" s="63"/>
    </x:row>
    <x:row r="30">
      <x:c r="A30" s="54"/>
      <x:c r="B30" s="60"/>
      <x:c r="C30" s="54"/>
      <x:c r="D30" s="57" t="str">
        <x:f>IF($C30="","",IFERROR(VLOOKUP($C30,'Leads'!$A$6:$C$505,3,FALSE),"Lead ID not found"))</x:f>
      </x:c>
      <x:c r="E30" s="54"/>
      <x:c r="F30" s="54"/>
      <x:c r="G30" s="63"/>
      <x:c r="H30" s="54"/>
      <x:c r="I30" s="60"/>
      <x:c r="J30" s="54"/>
      <x:c r="K30" s="54"/>
      <x:c r="L30" s="54"/>
      <x:c r="M30" s="63"/>
    </x:row>
    <x:row r="31">
      <x:c r="A31" s="54"/>
      <x:c r="B31" s="60"/>
      <x:c r="C31" s="54"/>
      <x:c r="D31" s="57" t="str">
        <x:f>IF($C31="","",IFERROR(VLOOKUP($C31,'Leads'!$A$6:$C$505,3,FALSE),"Lead ID not found"))</x:f>
      </x:c>
      <x:c r="E31" s="54"/>
      <x:c r="F31" s="54"/>
      <x:c r="G31" s="63"/>
      <x:c r="H31" s="54"/>
      <x:c r="I31" s="60"/>
      <x:c r="J31" s="54"/>
      <x:c r="K31" s="54"/>
      <x:c r="L31" s="54"/>
      <x:c r="M31" s="63"/>
    </x:row>
    <x:row r="32">
      <x:c r="A32" s="54"/>
      <x:c r="B32" s="60"/>
      <x:c r="C32" s="54"/>
      <x:c r="D32" s="57" t="str">
        <x:f>IF($C32="","",IFERROR(VLOOKUP($C32,'Leads'!$A$6:$C$505,3,FALSE),"Lead ID not found"))</x:f>
      </x:c>
      <x:c r="E32" s="54"/>
      <x:c r="F32" s="54"/>
      <x:c r="G32" s="63"/>
      <x:c r="H32" s="54"/>
      <x:c r="I32" s="60"/>
      <x:c r="J32" s="54"/>
      <x:c r="K32" s="54"/>
      <x:c r="L32" s="54"/>
      <x:c r="M32" s="63"/>
    </x:row>
    <x:row r="33">
      <x:c r="A33" s="54"/>
      <x:c r="B33" s="60"/>
      <x:c r="C33" s="54"/>
      <x:c r="D33" s="57" t="str">
        <x:f>IF($C33="","",IFERROR(VLOOKUP($C33,'Leads'!$A$6:$C$505,3,FALSE),"Lead ID not found"))</x:f>
      </x:c>
      <x:c r="E33" s="54"/>
      <x:c r="F33" s="54"/>
      <x:c r="G33" s="63"/>
      <x:c r="H33" s="54"/>
      <x:c r="I33" s="60"/>
      <x:c r="J33" s="54"/>
      <x:c r="K33" s="54"/>
      <x:c r="L33" s="54"/>
      <x:c r="M33" s="63"/>
    </x:row>
    <x:row r="34">
      <x:c r="A34" s="54"/>
      <x:c r="B34" s="60"/>
      <x:c r="C34" s="54"/>
      <x:c r="D34" s="57" t="str">
        <x:f>IF($C34="","",IFERROR(VLOOKUP($C34,'Leads'!$A$6:$C$505,3,FALSE),"Lead ID not found"))</x:f>
      </x:c>
      <x:c r="E34" s="54"/>
      <x:c r="F34" s="54"/>
      <x:c r="G34" s="63"/>
      <x:c r="H34" s="54"/>
      <x:c r="I34" s="60"/>
      <x:c r="J34" s="54"/>
      <x:c r="K34" s="54"/>
      <x:c r="L34" s="54"/>
      <x:c r="M34" s="63"/>
    </x:row>
    <x:row r="35">
      <x:c r="A35" s="54"/>
      <x:c r="B35" s="60"/>
      <x:c r="C35" s="54"/>
      <x:c r="D35" s="57" t="str">
        <x:f>IF($C35="","",IFERROR(VLOOKUP($C35,'Leads'!$A$6:$C$505,3,FALSE),"Lead ID not found"))</x:f>
      </x:c>
      <x:c r="E35" s="54"/>
      <x:c r="F35" s="54"/>
      <x:c r="G35" s="63"/>
      <x:c r="H35" s="54"/>
      <x:c r="I35" s="60"/>
      <x:c r="J35" s="54"/>
      <x:c r="K35" s="54"/>
      <x:c r="L35" s="54"/>
      <x:c r="M35" s="63"/>
    </x:row>
    <x:row r="36">
      <x:c r="A36" s="54"/>
      <x:c r="B36" s="60"/>
      <x:c r="C36" s="54"/>
      <x:c r="D36" s="57" t="str">
        <x:f>IF($C36="","",IFERROR(VLOOKUP($C36,'Leads'!$A$6:$C$505,3,FALSE),"Lead ID not found"))</x:f>
      </x:c>
      <x:c r="E36" s="54"/>
      <x:c r="F36" s="54"/>
      <x:c r="G36" s="63"/>
      <x:c r="H36" s="54"/>
      <x:c r="I36" s="60"/>
      <x:c r="J36" s="54"/>
      <x:c r="K36" s="54"/>
      <x:c r="L36" s="54"/>
      <x:c r="M36" s="63"/>
    </x:row>
    <x:row r="37">
      <x:c r="A37" s="54"/>
      <x:c r="B37" s="60"/>
      <x:c r="C37" s="54"/>
      <x:c r="D37" s="57" t="str">
        <x:f>IF($C37="","",IFERROR(VLOOKUP($C37,'Leads'!$A$6:$C$505,3,FALSE),"Lead ID not found"))</x:f>
      </x:c>
      <x:c r="E37" s="54"/>
      <x:c r="F37" s="54"/>
      <x:c r="G37" s="63"/>
      <x:c r="H37" s="54"/>
      <x:c r="I37" s="60"/>
      <x:c r="J37" s="54"/>
      <x:c r="K37" s="54"/>
      <x:c r="L37" s="54"/>
      <x:c r="M37" s="63"/>
    </x:row>
    <x:row r="38">
      <x:c r="A38" s="54"/>
      <x:c r="B38" s="60"/>
      <x:c r="C38" s="54"/>
      <x:c r="D38" s="57" t="str">
        <x:f>IF($C38="","",IFERROR(VLOOKUP($C38,'Leads'!$A$6:$C$505,3,FALSE),"Lead ID not found"))</x:f>
      </x:c>
      <x:c r="E38" s="54"/>
      <x:c r="F38" s="54"/>
      <x:c r="G38" s="63"/>
      <x:c r="H38" s="54"/>
      <x:c r="I38" s="60"/>
      <x:c r="J38" s="54"/>
      <x:c r="K38" s="54"/>
      <x:c r="L38" s="54"/>
      <x:c r="M38" s="63"/>
    </x:row>
    <x:row r="39">
      <x:c r="A39" s="54"/>
      <x:c r="B39" s="60"/>
      <x:c r="C39" s="54"/>
      <x:c r="D39" s="57" t="str">
        <x:f>IF($C39="","",IFERROR(VLOOKUP($C39,'Leads'!$A$6:$C$505,3,FALSE),"Lead ID not found"))</x:f>
      </x:c>
      <x:c r="E39" s="54"/>
      <x:c r="F39" s="54"/>
      <x:c r="G39" s="63"/>
      <x:c r="H39" s="54"/>
      <x:c r="I39" s="60"/>
      <x:c r="J39" s="54"/>
      <x:c r="K39" s="54"/>
      <x:c r="L39" s="54"/>
      <x:c r="M39" s="63"/>
    </x:row>
    <x:row r="40">
      <x:c r="A40" s="54"/>
      <x:c r="B40" s="60"/>
      <x:c r="C40" s="54"/>
      <x:c r="D40" s="57" t="str">
        <x:f>IF($C40="","",IFERROR(VLOOKUP($C40,'Leads'!$A$6:$C$505,3,FALSE),"Lead ID not found"))</x:f>
      </x:c>
      <x:c r="E40" s="54"/>
      <x:c r="F40" s="54"/>
      <x:c r="G40" s="63"/>
      <x:c r="H40" s="54"/>
      <x:c r="I40" s="60"/>
      <x:c r="J40" s="54"/>
      <x:c r="K40" s="54"/>
      <x:c r="L40" s="54"/>
      <x:c r="M40" s="63"/>
    </x:row>
    <x:row r="41">
      <x:c r="A41" s="54"/>
      <x:c r="B41" s="60"/>
      <x:c r="C41" s="54"/>
      <x:c r="D41" s="57" t="str">
        <x:f>IF($C41="","",IFERROR(VLOOKUP($C41,'Leads'!$A$6:$C$505,3,FALSE),"Lead ID not found"))</x:f>
      </x:c>
      <x:c r="E41" s="54"/>
      <x:c r="F41" s="54"/>
      <x:c r="G41" s="63"/>
      <x:c r="H41" s="54"/>
      <x:c r="I41" s="60"/>
      <x:c r="J41" s="54"/>
      <x:c r="K41" s="54"/>
      <x:c r="L41" s="54"/>
      <x:c r="M41" s="63"/>
    </x:row>
    <x:row r="42">
      <x:c r="A42" s="54"/>
      <x:c r="B42" s="60"/>
      <x:c r="C42" s="54"/>
      <x:c r="D42" s="57" t="str">
        <x:f>IF($C42="","",IFERROR(VLOOKUP($C42,'Leads'!$A$6:$C$505,3,FALSE),"Lead ID not found"))</x:f>
      </x:c>
      <x:c r="E42" s="54"/>
      <x:c r="F42" s="54"/>
      <x:c r="G42" s="63"/>
      <x:c r="H42" s="54"/>
      <x:c r="I42" s="60"/>
      <x:c r="J42" s="54"/>
      <x:c r="K42" s="54"/>
      <x:c r="L42" s="54"/>
      <x:c r="M42" s="63"/>
    </x:row>
    <x:row r="43">
      <x:c r="A43" s="54"/>
      <x:c r="B43" s="60"/>
      <x:c r="C43" s="54"/>
      <x:c r="D43" s="57" t="str">
        <x:f>IF($C43="","",IFERROR(VLOOKUP($C43,'Leads'!$A$6:$C$505,3,FALSE),"Lead ID not found"))</x:f>
      </x:c>
      <x:c r="E43" s="54"/>
      <x:c r="F43" s="54"/>
      <x:c r="G43" s="63"/>
      <x:c r="H43" s="54"/>
      <x:c r="I43" s="60"/>
      <x:c r="J43" s="54"/>
      <x:c r="K43" s="54"/>
      <x:c r="L43" s="54"/>
      <x:c r="M43" s="63"/>
    </x:row>
    <x:row r="44">
      <x:c r="A44" s="54"/>
      <x:c r="B44" s="60"/>
      <x:c r="C44" s="54"/>
      <x:c r="D44" s="57" t="str">
        <x:f>IF($C44="","",IFERROR(VLOOKUP($C44,'Leads'!$A$6:$C$505,3,FALSE),"Lead ID not found"))</x:f>
      </x:c>
      <x:c r="E44" s="54"/>
      <x:c r="F44" s="54"/>
      <x:c r="G44" s="63"/>
      <x:c r="H44" s="54"/>
      <x:c r="I44" s="60"/>
      <x:c r="J44" s="54"/>
      <x:c r="K44" s="54"/>
      <x:c r="L44" s="54"/>
      <x:c r="M44" s="63"/>
    </x:row>
    <x:row r="45">
      <x:c r="A45" s="54"/>
      <x:c r="B45" s="60"/>
      <x:c r="C45" s="54"/>
      <x:c r="D45" s="57" t="str">
        <x:f>IF($C45="","",IFERROR(VLOOKUP($C45,'Leads'!$A$6:$C$505,3,FALSE),"Lead ID not found"))</x:f>
      </x:c>
      <x:c r="E45" s="54"/>
      <x:c r="F45" s="54"/>
      <x:c r="G45" s="63"/>
      <x:c r="H45" s="54"/>
      <x:c r="I45" s="60"/>
      <x:c r="J45" s="54"/>
      <x:c r="K45" s="54"/>
      <x:c r="L45" s="54"/>
      <x:c r="M45" s="63"/>
    </x:row>
    <x:row r="46">
      <x:c r="A46" s="54"/>
      <x:c r="B46" s="60"/>
      <x:c r="C46" s="54"/>
      <x:c r="D46" s="57" t="str">
        <x:f>IF($C46="","",IFERROR(VLOOKUP($C46,'Leads'!$A$6:$C$505,3,FALSE),"Lead ID not found"))</x:f>
      </x:c>
      <x:c r="E46" s="54"/>
      <x:c r="F46" s="54"/>
      <x:c r="G46" s="63"/>
      <x:c r="H46" s="54"/>
      <x:c r="I46" s="60"/>
      <x:c r="J46" s="54"/>
      <x:c r="K46" s="54"/>
      <x:c r="L46" s="54"/>
      <x:c r="M46" s="63"/>
    </x:row>
    <x:row r="47">
      <x:c r="A47" s="54"/>
      <x:c r="B47" s="60"/>
      <x:c r="C47" s="54"/>
      <x:c r="D47" s="57" t="str">
        <x:f>IF($C47="","",IFERROR(VLOOKUP($C47,'Leads'!$A$6:$C$505,3,FALSE),"Lead ID not found"))</x:f>
      </x:c>
      <x:c r="E47" s="54"/>
      <x:c r="F47" s="54"/>
      <x:c r="G47" s="63"/>
      <x:c r="H47" s="54"/>
      <x:c r="I47" s="60"/>
      <x:c r="J47" s="54"/>
      <x:c r="K47" s="54"/>
      <x:c r="L47" s="54"/>
      <x:c r="M47" s="63"/>
    </x:row>
    <x:row r="48">
      <x:c r="A48" s="54"/>
      <x:c r="B48" s="60"/>
      <x:c r="C48" s="54"/>
      <x:c r="D48" s="57" t="str">
        <x:f>IF($C48="","",IFERROR(VLOOKUP($C48,'Leads'!$A$6:$C$505,3,FALSE),"Lead ID not found"))</x:f>
      </x:c>
      <x:c r="E48" s="54"/>
      <x:c r="F48" s="54"/>
      <x:c r="G48" s="63"/>
      <x:c r="H48" s="54"/>
      <x:c r="I48" s="60"/>
      <x:c r="J48" s="54"/>
      <x:c r="K48" s="54"/>
      <x:c r="L48" s="54"/>
      <x:c r="M48" s="63"/>
    </x:row>
    <x:row r="49">
      <x:c r="A49" s="54"/>
      <x:c r="B49" s="60"/>
      <x:c r="C49" s="54"/>
      <x:c r="D49" s="57" t="str">
        <x:f>IF($C49="","",IFERROR(VLOOKUP($C49,'Leads'!$A$6:$C$505,3,FALSE),"Lead ID not found"))</x:f>
      </x:c>
      <x:c r="E49" s="54"/>
      <x:c r="F49" s="54"/>
      <x:c r="G49" s="63"/>
      <x:c r="H49" s="54"/>
      <x:c r="I49" s="60"/>
      <x:c r="J49" s="54"/>
      <x:c r="K49" s="54"/>
      <x:c r="L49" s="54"/>
      <x:c r="M49" s="63"/>
    </x:row>
    <x:row r="50">
      <x:c r="A50" s="54"/>
      <x:c r="B50" s="60"/>
      <x:c r="C50" s="54"/>
      <x:c r="D50" s="57" t="str">
        <x:f>IF($C50="","",IFERROR(VLOOKUP($C50,'Leads'!$A$6:$C$505,3,FALSE),"Lead ID not found"))</x:f>
      </x:c>
      <x:c r="E50" s="54"/>
      <x:c r="F50" s="54"/>
      <x:c r="G50" s="63"/>
      <x:c r="H50" s="54"/>
      <x:c r="I50" s="60"/>
      <x:c r="J50" s="54"/>
      <x:c r="K50" s="54"/>
      <x:c r="L50" s="54"/>
      <x:c r="M50" s="63"/>
    </x:row>
    <x:row r="51">
      <x:c r="A51" s="54"/>
      <x:c r="B51" s="60"/>
      <x:c r="C51" s="54"/>
      <x:c r="D51" s="57" t="str">
        <x:f>IF($C51="","",IFERROR(VLOOKUP($C51,'Leads'!$A$6:$C$505,3,FALSE),"Lead ID not found"))</x:f>
      </x:c>
      <x:c r="E51" s="54"/>
      <x:c r="F51" s="54"/>
      <x:c r="G51" s="63"/>
      <x:c r="H51" s="54"/>
      <x:c r="I51" s="60"/>
      <x:c r="J51" s="54"/>
      <x:c r="K51" s="54"/>
      <x:c r="L51" s="54"/>
      <x:c r="M51" s="63"/>
    </x:row>
    <x:row r="52">
      <x:c r="A52" s="54"/>
      <x:c r="B52" s="60"/>
      <x:c r="C52" s="54"/>
      <x:c r="D52" s="57" t="str">
        <x:f>IF($C52="","",IFERROR(VLOOKUP($C52,'Leads'!$A$6:$C$505,3,FALSE),"Lead ID not found"))</x:f>
      </x:c>
      <x:c r="E52" s="54"/>
      <x:c r="F52" s="54"/>
      <x:c r="G52" s="63"/>
      <x:c r="H52" s="54"/>
      <x:c r="I52" s="60"/>
      <x:c r="J52" s="54"/>
      <x:c r="K52" s="54"/>
      <x:c r="L52" s="54"/>
      <x:c r="M52" s="63"/>
    </x:row>
    <x:row r="53">
      <x:c r="A53" s="54"/>
      <x:c r="B53" s="60"/>
      <x:c r="C53" s="54"/>
      <x:c r="D53" s="57" t="str">
        <x:f>IF($C53="","",IFERROR(VLOOKUP($C53,'Leads'!$A$6:$C$505,3,FALSE),"Lead ID not found"))</x:f>
      </x:c>
      <x:c r="E53" s="54"/>
      <x:c r="F53" s="54"/>
      <x:c r="G53" s="63"/>
      <x:c r="H53" s="54"/>
      <x:c r="I53" s="60"/>
      <x:c r="J53" s="54"/>
      <x:c r="K53" s="54"/>
      <x:c r="L53" s="54"/>
      <x:c r="M53" s="63"/>
    </x:row>
    <x:row r="54">
      <x:c r="A54" s="54"/>
      <x:c r="B54" s="60"/>
      <x:c r="C54" s="54"/>
      <x:c r="D54" s="57" t="str">
        <x:f>IF($C54="","",IFERROR(VLOOKUP($C54,'Leads'!$A$6:$C$505,3,FALSE),"Lead ID not found"))</x:f>
      </x:c>
      <x:c r="E54" s="54"/>
      <x:c r="F54" s="54"/>
      <x:c r="G54" s="63"/>
      <x:c r="H54" s="54"/>
      <x:c r="I54" s="60"/>
      <x:c r="J54" s="54"/>
      <x:c r="K54" s="54"/>
      <x:c r="L54" s="54"/>
      <x:c r="M54" s="63"/>
    </x:row>
    <x:row r="55">
      <x:c r="A55" s="54"/>
      <x:c r="B55" s="60"/>
      <x:c r="C55" s="54"/>
      <x:c r="D55" s="57" t="str">
        <x:f>IF($C55="","",IFERROR(VLOOKUP($C55,'Leads'!$A$6:$C$505,3,FALSE),"Lead ID not found"))</x:f>
      </x:c>
      <x:c r="E55" s="54"/>
      <x:c r="F55" s="54"/>
      <x:c r="G55" s="63"/>
      <x:c r="H55" s="54"/>
      <x:c r="I55" s="60"/>
      <x:c r="J55" s="54"/>
      <x:c r="K55" s="54"/>
      <x:c r="L55" s="54"/>
      <x:c r="M55" s="63"/>
    </x:row>
    <x:row r="56">
      <x:c r="A56" s="54"/>
      <x:c r="B56" s="60"/>
      <x:c r="C56" s="54"/>
      <x:c r="D56" s="57" t="str">
        <x:f>IF($C56="","",IFERROR(VLOOKUP($C56,'Leads'!$A$6:$C$505,3,FALSE),"Lead ID not found"))</x:f>
      </x:c>
      <x:c r="E56" s="54"/>
      <x:c r="F56" s="54"/>
      <x:c r="G56" s="63"/>
      <x:c r="H56" s="54"/>
      <x:c r="I56" s="60"/>
      <x:c r="J56" s="54"/>
      <x:c r="K56" s="54"/>
      <x:c r="L56" s="54"/>
      <x:c r="M56" s="63"/>
    </x:row>
    <x:row r="57">
      <x:c r="A57" s="54"/>
      <x:c r="B57" s="60"/>
      <x:c r="C57" s="54"/>
      <x:c r="D57" s="57" t="str">
        <x:f>IF($C57="","",IFERROR(VLOOKUP($C57,'Leads'!$A$6:$C$505,3,FALSE),"Lead ID not found"))</x:f>
      </x:c>
      <x:c r="E57" s="54"/>
      <x:c r="F57" s="54"/>
      <x:c r="G57" s="63"/>
      <x:c r="H57" s="54"/>
      <x:c r="I57" s="60"/>
      <x:c r="J57" s="54"/>
      <x:c r="K57" s="54"/>
      <x:c r="L57" s="54"/>
      <x:c r="M57" s="63"/>
    </x:row>
    <x:row r="58">
      <x:c r="A58" s="54"/>
      <x:c r="B58" s="60"/>
      <x:c r="C58" s="54"/>
      <x:c r="D58" s="57" t="str">
        <x:f>IF($C58="","",IFERROR(VLOOKUP($C58,'Leads'!$A$6:$C$505,3,FALSE),"Lead ID not found"))</x:f>
      </x:c>
      <x:c r="E58" s="54"/>
      <x:c r="F58" s="54"/>
      <x:c r="G58" s="63"/>
      <x:c r="H58" s="54"/>
      <x:c r="I58" s="60"/>
      <x:c r="J58" s="54"/>
      <x:c r="K58" s="54"/>
      <x:c r="L58" s="54"/>
      <x:c r="M58" s="63"/>
    </x:row>
    <x:row r="59">
      <x:c r="A59" s="54"/>
      <x:c r="B59" s="60"/>
      <x:c r="C59" s="54"/>
      <x:c r="D59" s="57" t="str">
        <x:f>IF($C59="","",IFERROR(VLOOKUP($C59,'Leads'!$A$6:$C$505,3,FALSE),"Lead ID not found"))</x:f>
      </x:c>
      <x:c r="E59" s="54"/>
      <x:c r="F59" s="54"/>
      <x:c r="G59" s="63"/>
      <x:c r="H59" s="54"/>
      <x:c r="I59" s="60"/>
      <x:c r="J59" s="54"/>
      <x:c r="K59" s="54"/>
      <x:c r="L59" s="54"/>
      <x:c r="M59" s="63"/>
    </x:row>
    <x:row r="60">
      <x:c r="A60" s="54"/>
      <x:c r="B60" s="60"/>
      <x:c r="C60" s="54"/>
      <x:c r="D60" s="57" t="str">
        <x:f>IF($C60="","",IFERROR(VLOOKUP($C60,'Leads'!$A$6:$C$505,3,FALSE),"Lead ID not found"))</x:f>
      </x:c>
      <x:c r="E60" s="54"/>
      <x:c r="F60" s="54"/>
      <x:c r="G60" s="63"/>
      <x:c r="H60" s="54"/>
      <x:c r="I60" s="60"/>
      <x:c r="J60" s="54"/>
      <x:c r="K60" s="54"/>
      <x:c r="L60" s="54"/>
      <x:c r="M60" s="63"/>
    </x:row>
    <x:row r="61">
      <x:c r="A61" s="54"/>
      <x:c r="B61" s="60"/>
      <x:c r="C61" s="54"/>
      <x:c r="D61" s="57" t="str">
        <x:f>IF($C61="","",IFERROR(VLOOKUP($C61,'Leads'!$A$6:$C$505,3,FALSE),"Lead ID not found"))</x:f>
      </x:c>
      <x:c r="E61" s="54"/>
      <x:c r="F61" s="54"/>
      <x:c r="G61" s="63"/>
      <x:c r="H61" s="54"/>
      <x:c r="I61" s="60"/>
      <x:c r="J61" s="54"/>
      <x:c r="K61" s="54"/>
      <x:c r="L61" s="54"/>
      <x:c r="M61" s="63"/>
    </x:row>
    <x:row r="62">
      <x:c r="A62" s="54"/>
      <x:c r="B62" s="60"/>
      <x:c r="C62" s="54"/>
      <x:c r="D62" s="57" t="str">
        <x:f>IF($C62="","",IFERROR(VLOOKUP($C62,'Leads'!$A$6:$C$505,3,FALSE),"Lead ID not found"))</x:f>
      </x:c>
      <x:c r="E62" s="54"/>
      <x:c r="F62" s="54"/>
      <x:c r="G62" s="63"/>
      <x:c r="H62" s="54"/>
      <x:c r="I62" s="60"/>
      <x:c r="J62" s="54"/>
      <x:c r="K62" s="54"/>
      <x:c r="L62" s="54"/>
      <x:c r="M62" s="63"/>
    </x:row>
    <x:row r="63">
      <x:c r="A63" s="54"/>
      <x:c r="B63" s="60"/>
      <x:c r="C63" s="54"/>
      <x:c r="D63" s="57" t="str">
        <x:f>IF($C63="","",IFERROR(VLOOKUP($C63,'Leads'!$A$6:$C$505,3,FALSE),"Lead ID not found"))</x:f>
      </x:c>
      <x:c r="E63" s="54"/>
      <x:c r="F63" s="54"/>
      <x:c r="G63" s="63"/>
      <x:c r="H63" s="54"/>
      <x:c r="I63" s="60"/>
      <x:c r="J63" s="54"/>
      <x:c r="K63" s="54"/>
      <x:c r="L63" s="54"/>
      <x:c r="M63" s="63"/>
    </x:row>
    <x:row r="64">
      <x:c r="A64" s="54"/>
      <x:c r="B64" s="60"/>
      <x:c r="C64" s="54"/>
      <x:c r="D64" s="57" t="str">
        <x:f>IF($C64="","",IFERROR(VLOOKUP($C64,'Leads'!$A$6:$C$505,3,FALSE),"Lead ID not found"))</x:f>
      </x:c>
      <x:c r="E64" s="54"/>
      <x:c r="F64" s="54"/>
      <x:c r="G64" s="63"/>
      <x:c r="H64" s="54"/>
      <x:c r="I64" s="60"/>
      <x:c r="J64" s="54"/>
      <x:c r="K64" s="54"/>
      <x:c r="L64" s="54"/>
      <x:c r="M64" s="63"/>
    </x:row>
    <x:row r="65">
      <x:c r="A65" s="54"/>
      <x:c r="B65" s="60"/>
      <x:c r="C65" s="54"/>
      <x:c r="D65" s="57" t="str">
        <x:f>IF($C65="","",IFERROR(VLOOKUP($C65,'Leads'!$A$6:$C$505,3,FALSE),"Lead ID not found"))</x:f>
      </x:c>
      <x:c r="E65" s="54"/>
      <x:c r="F65" s="54"/>
      <x:c r="G65" s="63"/>
      <x:c r="H65" s="54"/>
      <x:c r="I65" s="60"/>
      <x:c r="J65" s="54"/>
      <x:c r="K65" s="54"/>
      <x:c r="L65" s="54"/>
      <x:c r="M65" s="63"/>
    </x:row>
    <x:row r="66">
      <x:c r="A66" s="54"/>
      <x:c r="B66" s="60"/>
      <x:c r="C66" s="54"/>
      <x:c r="D66" s="57" t="str">
        <x:f>IF($C66="","",IFERROR(VLOOKUP($C66,'Leads'!$A$6:$C$505,3,FALSE),"Lead ID not found"))</x:f>
      </x:c>
      <x:c r="E66" s="54"/>
      <x:c r="F66" s="54"/>
      <x:c r="G66" s="63"/>
      <x:c r="H66" s="54"/>
      <x:c r="I66" s="60"/>
      <x:c r="J66" s="54"/>
      <x:c r="K66" s="54"/>
      <x:c r="L66" s="54"/>
      <x:c r="M66" s="63"/>
    </x:row>
    <x:row r="67">
      <x:c r="A67" s="54"/>
      <x:c r="B67" s="60"/>
      <x:c r="C67" s="54"/>
      <x:c r="D67" s="57" t="str">
        <x:f>IF($C67="","",IFERROR(VLOOKUP($C67,'Leads'!$A$6:$C$505,3,FALSE),"Lead ID not found"))</x:f>
      </x:c>
      <x:c r="E67" s="54"/>
      <x:c r="F67" s="54"/>
      <x:c r="G67" s="63"/>
      <x:c r="H67" s="54"/>
      <x:c r="I67" s="60"/>
      <x:c r="J67" s="54"/>
      <x:c r="K67" s="54"/>
      <x:c r="L67" s="54"/>
      <x:c r="M67" s="63"/>
    </x:row>
    <x:row r="68">
      <x:c r="A68" s="54"/>
      <x:c r="B68" s="60"/>
      <x:c r="C68" s="54"/>
      <x:c r="D68" s="57" t="str">
        <x:f>IF($C68="","",IFERROR(VLOOKUP($C68,'Leads'!$A$6:$C$505,3,FALSE),"Lead ID not found"))</x:f>
      </x:c>
      <x:c r="E68" s="54"/>
      <x:c r="F68" s="54"/>
      <x:c r="G68" s="63"/>
      <x:c r="H68" s="54"/>
      <x:c r="I68" s="60"/>
      <x:c r="J68" s="54"/>
      <x:c r="K68" s="54"/>
      <x:c r="L68" s="54"/>
      <x:c r="M68" s="63"/>
    </x:row>
    <x:row r="69">
      <x:c r="A69" s="54"/>
      <x:c r="B69" s="60"/>
      <x:c r="C69" s="54"/>
      <x:c r="D69" s="57" t="str">
        <x:f>IF($C69="","",IFERROR(VLOOKUP($C69,'Leads'!$A$6:$C$505,3,FALSE),"Lead ID not found"))</x:f>
      </x:c>
      <x:c r="E69" s="54"/>
      <x:c r="F69" s="54"/>
      <x:c r="G69" s="63"/>
      <x:c r="H69" s="54"/>
      <x:c r="I69" s="60"/>
      <x:c r="J69" s="54"/>
      <x:c r="K69" s="54"/>
      <x:c r="L69" s="54"/>
      <x:c r="M69" s="63"/>
    </x:row>
    <x:row r="70">
      <x:c r="A70" s="54"/>
      <x:c r="B70" s="60"/>
      <x:c r="C70" s="54"/>
      <x:c r="D70" s="57" t="str">
        <x:f>IF($C70="","",IFERROR(VLOOKUP($C70,'Leads'!$A$6:$C$505,3,FALSE),"Lead ID not found"))</x:f>
      </x:c>
      <x:c r="E70" s="54"/>
      <x:c r="F70" s="54"/>
      <x:c r="G70" s="63"/>
      <x:c r="H70" s="54"/>
      <x:c r="I70" s="60"/>
      <x:c r="J70" s="54"/>
      <x:c r="K70" s="54"/>
      <x:c r="L70" s="54"/>
      <x:c r="M70" s="63"/>
    </x:row>
    <x:row r="71">
      <x:c r="A71" s="54"/>
      <x:c r="B71" s="60"/>
      <x:c r="C71" s="54"/>
      <x:c r="D71" s="57" t="str">
        <x:f>IF($C71="","",IFERROR(VLOOKUP($C71,'Leads'!$A$6:$C$505,3,FALSE),"Lead ID not found"))</x:f>
      </x:c>
      <x:c r="E71" s="54"/>
      <x:c r="F71" s="54"/>
      <x:c r="G71" s="63"/>
      <x:c r="H71" s="54"/>
      <x:c r="I71" s="60"/>
      <x:c r="J71" s="54"/>
      <x:c r="K71" s="54"/>
      <x:c r="L71" s="54"/>
      <x:c r="M71" s="63"/>
    </x:row>
    <x:row r="72">
      <x:c r="A72" s="54"/>
      <x:c r="B72" s="60"/>
      <x:c r="C72" s="54"/>
      <x:c r="D72" s="57" t="str">
        <x:f>IF($C72="","",IFERROR(VLOOKUP($C72,'Leads'!$A$6:$C$505,3,FALSE),"Lead ID not found"))</x:f>
      </x:c>
      <x:c r="E72" s="54"/>
      <x:c r="F72" s="54"/>
      <x:c r="G72" s="63"/>
      <x:c r="H72" s="54"/>
      <x:c r="I72" s="60"/>
      <x:c r="J72" s="54"/>
      <x:c r="K72" s="54"/>
      <x:c r="L72" s="54"/>
      <x:c r="M72" s="63"/>
    </x:row>
    <x:row r="73">
      <x:c r="A73" s="54"/>
      <x:c r="B73" s="60"/>
      <x:c r="C73" s="54"/>
      <x:c r="D73" s="57" t="str">
        <x:f>IF($C73="","",IFERROR(VLOOKUP($C73,'Leads'!$A$6:$C$505,3,FALSE),"Lead ID not found"))</x:f>
      </x:c>
      <x:c r="E73" s="54"/>
      <x:c r="F73" s="54"/>
      <x:c r="G73" s="63"/>
      <x:c r="H73" s="54"/>
      <x:c r="I73" s="60"/>
      <x:c r="J73" s="54"/>
      <x:c r="K73" s="54"/>
      <x:c r="L73" s="54"/>
      <x:c r="M73" s="63"/>
    </x:row>
    <x:row r="74">
      <x:c r="A74" s="54"/>
      <x:c r="B74" s="60"/>
      <x:c r="C74" s="54"/>
      <x:c r="D74" s="57" t="str">
        <x:f>IF($C74="","",IFERROR(VLOOKUP($C74,'Leads'!$A$6:$C$505,3,FALSE),"Lead ID not found"))</x:f>
      </x:c>
      <x:c r="E74" s="54"/>
      <x:c r="F74" s="54"/>
      <x:c r="G74" s="63"/>
      <x:c r="H74" s="54"/>
      <x:c r="I74" s="60"/>
      <x:c r="J74" s="54"/>
      <x:c r="K74" s="54"/>
      <x:c r="L74" s="54"/>
      <x:c r="M74" s="63"/>
    </x:row>
    <x:row r="75">
      <x:c r="A75" s="54"/>
      <x:c r="B75" s="60"/>
      <x:c r="C75" s="54"/>
      <x:c r="D75" s="57" t="str">
        <x:f>IF($C75="","",IFERROR(VLOOKUP($C75,'Leads'!$A$6:$C$505,3,FALSE),"Lead ID not found"))</x:f>
      </x:c>
      <x:c r="E75" s="54"/>
      <x:c r="F75" s="54"/>
      <x:c r="G75" s="63"/>
      <x:c r="H75" s="54"/>
      <x:c r="I75" s="60"/>
      <x:c r="J75" s="54"/>
      <x:c r="K75" s="54"/>
      <x:c r="L75" s="54"/>
      <x:c r="M75" s="63"/>
    </x:row>
    <x:row r="76">
      <x:c r="A76" s="54"/>
      <x:c r="B76" s="60"/>
      <x:c r="C76" s="54"/>
      <x:c r="D76" s="57" t="str">
        <x:f>IF($C76="","",IFERROR(VLOOKUP($C76,'Leads'!$A$6:$C$505,3,FALSE),"Lead ID not found"))</x:f>
      </x:c>
      <x:c r="E76" s="54"/>
      <x:c r="F76" s="54"/>
      <x:c r="G76" s="63"/>
      <x:c r="H76" s="54"/>
      <x:c r="I76" s="60"/>
      <x:c r="J76" s="54"/>
      <x:c r="K76" s="54"/>
      <x:c r="L76" s="54"/>
      <x:c r="M76" s="63"/>
    </x:row>
    <x:row r="77">
      <x:c r="A77" s="54"/>
      <x:c r="B77" s="60"/>
      <x:c r="C77" s="54"/>
      <x:c r="D77" s="57" t="str">
        <x:f>IF($C77="","",IFERROR(VLOOKUP($C77,'Leads'!$A$6:$C$505,3,FALSE),"Lead ID not found"))</x:f>
      </x:c>
      <x:c r="E77" s="54"/>
      <x:c r="F77" s="54"/>
      <x:c r="G77" s="63"/>
      <x:c r="H77" s="54"/>
      <x:c r="I77" s="60"/>
      <x:c r="J77" s="54"/>
      <x:c r="K77" s="54"/>
      <x:c r="L77" s="54"/>
      <x:c r="M77" s="63"/>
    </x:row>
    <x:row r="78">
      <x:c r="A78" s="54"/>
      <x:c r="B78" s="60"/>
      <x:c r="C78" s="54"/>
      <x:c r="D78" s="57" t="str">
        <x:f>IF($C78="","",IFERROR(VLOOKUP($C78,'Leads'!$A$6:$C$505,3,FALSE),"Lead ID not found"))</x:f>
      </x:c>
      <x:c r="E78" s="54"/>
      <x:c r="F78" s="54"/>
      <x:c r="G78" s="63"/>
      <x:c r="H78" s="54"/>
      <x:c r="I78" s="60"/>
      <x:c r="J78" s="54"/>
      <x:c r="K78" s="54"/>
      <x:c r="L78" s="54"/>
      <x:c r="M78" s="63"/>
    </x:row>
    <x:row r="79">
      <x:c r="A79" s="54"/>
      <x:c r="B79" s="60"/>
      <x:c r="C79" s="54"/>
      <x:c r="D79" s="57" t="str">
        <x:f>IF($C79="","",IFERROR(VLOOKUP($C79,'Leads'!$A$6:$C$505,3,FALSE),"Lead ID not found"))</x:f>
      </x:c>
      <x:c r="E79" s="54"/>
      <x:c r="F79" s="54"/>
      <x:c r="G79" s="63"/>
      <x:c r="H79" s="54"/>
      <x:c r="I79" s="60"/>
      <x:c r="J79" s="54"/>
      <x:c r="K79" s="54"/>
      <x:c r="L79" s="54"/>
      <x:c r="M79" s="63"/>
    </x:row>
    <x:row r="80">
      <x:c r="A80" s="54"/>
      <x:c r="B80" s="60"/>
      <x:c r="C80" s="54"/>
      <x:c r="D80" s="57" t="str">
        <x:f>IF($C80="","",IFERROR(VLOOKUP($C80,'Leads'!$A$6:$C$505,3,FALSE),"Lead ID not found"))</x:f>
      </x:c>
      <x:c r="E80" s="54"/>
      <x:c r="F80" s="54"/>
      <x:c r="G80" s="63"/>
      <x:c r="H80" s="54"/>
      <x:c r="I80" s="60"/>
      <x:c r="J80" s="54"/>
      <x:c r="K80" s="54"/>
      <x:c r="L80" s="54"/>
      <x:c r="M80" s="63"/>
    </x:row>
    <x:row r="81">
      <x:c r="A81" s="54"/>
      <x:c r="B81" s="60"/>
      <x:c r="C81" s="54"/>
      <x:c r="D81" s="57" t="str">
        <x:f>IF($C81="","",IFERROR(VLOOKUP($C81,'Leads'!$A$6:$C$505,3,FALSE),"Lead ID not found"))</x:f>
      </x:c>
      <x:c r="E81" s="54"/>
      <x:c r="F81" s="54"/>
      <x:c r="G81" s="63"/>
      <x:c r="H81" s="54"/>
      <x:c r="I81" s="60"/>
      <x:c r="J81" s="54"/>
      <x:c r="K81" s="54"/>
      <x:c r="L81" s="54"/>
      <x:c r="M81" s="63"/>
    </x:row>
    <x:row r="82">
      <x:c r="A82" s="54"/>
      <x:c r="B82" s="60"/>
      <x:c r="C82" s="54"/>
      <x:c r="D82" s="57" t="str">
        <x:f>IF($C82="","",IFERROR(VLOOKUP($C82,'Leads'!$A$6:$C$505,3,FALSE),"Lead ID not found"))</x:f>
      </x:c>
      <x:c r="E82" s="54"/>
      <x:c r="F82" s="54"/>
      <x:c r="G82" s="63"/>
      <x:c r="H82" s="54"/>
      <x:c r="I82" s="60"/>
      <x:c r="J82" s="54"/>
      <x:c r="K82" s="54"/>
      <x:c r="L82" s="54"/>
      <x:c r="M82" s="63"/>
    </x:row>
    <x:row r="83">
      <x:c r="A83" s="54"/>
      <x:c r="B83" s="60"/>
      <x:c r="C83" s="54"/>
      <x:c r="D83" s="57" t="str">
        <x:f>IF($C83="","",IFERROR(VLOOKUP($C83,'Leads'!$A$6:$C$505,3,FALSE),"Lead ID not found"))</x:f>
      </x:c>
      <x:c r="E83" s="54"/>
      <x:c r="F83" s="54"/>
      <x:c r="G83" s="63"/>
      <x:c r="H83" s="54"/>
      <x:c r="I83" s="60"/>
      <x:c r="J83" s="54"/>
      <x:c r="K83" s="54"/>
      <x:c r="L83" s="54"/>
      <x:c r="M83" s="63"/>
    </x:row>
    <x:row r="84">
      <x:c r="A84" s="54"/>
      <x:c r="B84" s="60"/>
      <x:c r="C84" s="54"/>
      <x:c r="D84" s="57" t="str">
        <x:f>IF($C84="","",IFERROR(VLOOKUP($C84,'Leads'!$A$6:$C$505,3,FALSE),"Lead ID not found"))</x:f>
      </x:c>
      <x:c r="E84" s="54"/>
      <x:c r="F84" s="54"/>
      <x:c r="G84" s="63"/>
      <x:c r="H84" s="54"/>
      <x:c r="I84" s="60"/>
      <x:c r="J84" s="54"/>
      <x:c r="K84" s="54"/>
      <x:c r="L84" s="54"/>
      <x:c r="M84" s="63"/>
    </x:row>
    <x:row r="85">
      <x:c r="A85" s="54"/>
      <x:c r="B85" s="60"/>
      <x:c r="C85" s="54"/>
      <x:c r="D85" s="57" t="str">
        <x:f>IF($C85="","",IFERROR(VLOOKUP($C85,'Leads'!$A$6:$C$505,3,FALSE),"Lead ID not found"))</x:f>
      </x:c>
      <x:c r="E85" s="54"/>
      <x:c r="F85" s="54"/>
      <x:c r="G85" s="63"/>
      <x:c r="H85" s="54"/>
      <x:c r="I85" s="60"/>
      <x:c r="J85" s="54"/>
      <x:c r="K85" s="54"/>
      <x:c r="L85" s="54"/>
      <x:c r="M85" s="63"/>
    </x:row>
    <x:row r="86">
      <x:c r="A86" s="54"/>
      <x:c r="B86" s="60"/>
      <x:c r="C86" s="54"/>
      <x:c r="D86" s="57" t="str">
        <x:f>IF($C86="","",IFERROR(VLOOKUP($C86,'Leads'!$A$6:$C$505,3,FALSE),"Lead ID not found"))</x:f>
      </x:c>
      <x:c r="E86" s="54"/>
      <x:c r="F86" s="54"/>
      <x:c r="G86" s="63"/>
      <x:c r="H86" s="54"/>
      <x:c r="I86" s="60"/>
      <x:c r="J86" s="54"/>
      <x:c r="K86" s="54"/>
      <x:c r="L86" s="54"/>
      <x:c r="M86" s="63"/>
    </x:row>
    <x:row r="87">
      <x:c r="A87" s="54"/>
      <x:c r="B87" s="60"/>
      <x:c r="C87" s="54"/>
      <x:c r="D87" s="57" t="str">
        <x:f>IF($C87="","",IFERROR(VLOOKUP($C87,'Leads'!$A$6:$C$505,3,FALSE),"Lead ID not found"))</x:f>
      </x:c>
      <x:c r="E87" s="54"/>
      <x:c r="F87" s="54"/>
      <x:c r="G87" s="63"/>
      <x:c r="H87" s="54"/>
      <x:c r="I87" s="60"/>
      <x:c r="J87" s="54"/>
      <x:c r="K87" s="54"/>
      <x:c r="L87" s="54"/>
      <x:c r="M87" s="63"/>
    </x:row>
    <x:row r="88">
      <x:c r="A88" s="54"/>
      <x:c r="B88" s="60"/>
      <x:c r="C88" s="54"/>
      <x:c r="D88" s="57" t="str">
        <x:f>IF($C88="","",IFERROR(VLOOKUP($C88,'Leads'!$A$6:$C$505,3,FALSE),"Lead ID not found"))</x:f>
      </x:c>
      <x:c r="E88" s="54"/>
      <x:c r="F88" s="54"/>
      <x:c r="G88" s="63"/>
      <x:c r="H88" s="54"/>
      <x:c r="I88" s="60"/>
      <x:c r="J88" s="54"/>
      <x:c r="K88" s="54"/>
      <x:c r="L88" s="54"/>
      <x:c r="M88" s="63"/>
    </x:row>
    <x:row r="89">
      <x:c r="A89" s="54"/>
      <x:c r="B89" s="60"/>
      <x:c r="C89" s="54"/>
      <x:c r="D89" s="57" t="str">
        <x:f>IF($C89="","",IFERROR(VLOOKUP($C89,'Leads'!$A$6:$C$505,3,FALSE),"Lead ID not found"))</x:f>
      </x:c>
      <x:c r="E89" s="54"/>
      <x:c r="F89" s="54"/>
      <x:c r="G89" s="63"/>
      <x:c r="H89" s="54"/>
      <x:c r="I89" s="60"/>
      <x:c r="J89" s="54"/>
      <x:c r="K89" s="54"/>
      <x:c r="L89" s="54"/>
      <x:c r="M89" s="63"/>
    </x:row>
    <x:row r="90">
      <x:c r="A90" s="54"/>
      <x:c r="B90" s="60"/>
      <x:c r="C90" s="54"/>
      <x:c r="D90" s="57" t="str">
        <x:f>IF($C90="","",IFERROR(VLOOKUP($C90,'Leads'!$A$6:$C$505,3,FALSE),"Lead ID not found"))</x:f>
      </x:c>
      <x:c r="E90" s="54"/>
      <x:c r="F90" s="54"/>
      <x:c r="G90" s="63"/>
      <x:c r="H90" s="54"/>
      <x:c r="I90" s="60"/>
      <x:c r="J90" s="54"/>
      <x:c r="K90" s="54"/>
      <x:c r="L90" s="54"/>
      <x:c r="M90" s="63"/>
    </x:row>
    <x:row r="91">
      <x:c r="A91" s="54"/>
      <x:c r="B91" s="60"/>
      <x:c r="C91" s="54"/>
      <x:c r="D91" s="57" t="str">
        <x:f>IF($C91="","",IFERROR(VLOOKUP($C91,'Leads'!$A$6:$C$505,3,FALSE),"Lead ID not found"))</x:f>
      </x:c>
      <x:c r="E91" s="54"/>
      <x:c r="F91" s="54"/>
      <x:c r="G91" s="63"/>
      <x:c r="H91" s="54"/>
      <x:c r="I91" s="60"/>
      <x:c r="J91" s="54"/>
      <x:c r="K91" s="54"/>
      <x:c r="L91" s="54"/>
      <x:c r="M91" s="63"/>
    </x:row>
    <x:row r="92">
      <x:c r="A92" s="54"/>
      <x:c r="B92" s="60"/>
      <x:c r="C92" s="54"/>
      <x:c r="D92" s="57" t="str">
        <x:f>IF($C92="","",IFERROR(VLOOKUP($C92,'Leads'!$A$6:$C$505,3,FALSE),"Lead ID not found"))</x:f>
      </x:c>
      <x:c r="E92" s="54"/>
      <x:c r="F92" s="54"/>
      <x:c r="G92" s="63"/>
      <x:c r="H92" s="54"/>
      <x:c r="I92" s="60"/>
      <x:c r="J92" s="54"/>
      <x:c r="K92" s="54"/>
      <x:c r="L92" s="54"/>
      <x:c r="M92" s="63"/>
    </x:row>
    <x:row r="93">
      <x:c r="A93" s="54"/>
      <x:c r="B93" s="60"/>
      <x:c r="C93" s="54"/>
      <x:c r="D93" s="57" t="str">
        <x:f>IF($C93="","",IFERROR(VLOOKUP($C93,'Leads'!$A$6:$C$505,3,FALSE),"Lead ID not found"))</x:f>
      </x:c>
      <x:c r="E93" s="54"/>
      <x:c r="F93" s="54"/>
      <x:c r="G93" s="63"/>
      <x:c r="H93" s="54"/>
      <x:c r="I93" s="60"/>
      <x:c r="J93" s="54"/>
      <x:c r="K93" s="54"/>
      <x:c r="L93" s="54"/>
      <x:c r="M93" s="63"/>
    </x:row>
    <x:row r="94">
      <x:c r="A94" s="54"/>
      <x:c r="B94" s="60"/>
      <x:c r="C94" s="54"/>
      <x:c r="D94" s="57" t="str">
        <x:f>IF($C94="","",IFERROR(VLOOKUP($C94,'Leads'!$A$6:$C$505,3,FALSE),"Lead ID not found"))</x:f>
      </x:c>
      <x:c r="E94" s="54"/>
      <x:c r="F94" s="54"/>
      <x:c r="G94" s="63"/>
      <x:c r="H94" s="54"/>
      <x:c r="I94" s="60"/>
      <x:c r="J94" s="54"/>
      <x:c r="K94" s="54"/>
      <x:c r="L94" s="54"/>
      <x:c r="M94" s="63"/>
    </x:row>
    <x:row r="95">
      <x:c r="A95" s="54"/>
      <x:c r="B95" s="60"/>
      <x:c r="C95" s="54"/>
      <x:c r="D95" s="57" t="str">
        <x:f>IF($C95="","",IFERROR(VLOOKUP($C95,'Leads'!$A$6:$C$505,3,FALSE),"Lead ID not found"))</x:f>
      </x:c>
      <x:c r="E95" s="54"/>
      <x:c r="F95" s="54"/>
      <x:c r="G95" s="63"/>
      <x:c r="H95" s="54"/>
      <x:c r="I95" s="60"/>
      <x:c r="J95" s="54"/>
      <x:c r="K95" s="54"/>
      <x:c r="L95" s="54"/>
      <x:c r="M95" s="63"/>
    </x:row>
    <x:row r="96">
      <x:c r="A96" s="54"/>
      <x:c r="B96" s="60"/>
      <x:c r="C96" s="54"/>
      <x:c r="D96" s="57" t="str">
        <x:f>IF($C96="","",IFERROR(VLOOKUP($C96,'Leads'!$A$6:$C$505,3,FALSE),"Lead ID not found"))</x:f>
      </x:c>
      <x:c r="E96" s="54"/>
      <x:c r="F96" s="54"/>
      <x:c r="G96" s="63"/>
      <x:c r="H96" s="54"/>
      <x:c r="I96" s="60"/>
      <x:c r="J96" s="54"/>
      <x:c r="K96" s="54"/>
      <x:c r="L96" s="54"/>
      <x:c r="M96" s="63"/>
    </x:row>
    <x:row r="97">
      <x:c r="A97" s="54"/>
      <x:c r="B97" s="60"/>
      <x:c r="C97" s="54"/>
      <x:c r="D97" s="57" t="str">
        <x:f>IF($C97="","",IFERROR(VLOOKUP($C97,'Leads'!$A$6:$C$505,3,FALSE),"Lead ID not found"))</x:f>
      </x:c>
      <x:c r="E97" s="54"/>
      <x:c r="F97" s="54"/>
      <x:c r="G97" s="63"/>
      <x:c r="H97" s="54"/>
      <x:c r="I97" s="60"/>
      <x:c r="J97" s="54"/>
      <x:c r="K97" s="54"/>
      <x:c r="L97" s="54"/>
      <x:c r="M97" s="63"/>
    </x:row>
    <x:row r="98">
      <x:c r="A98" s="54"/>
      <x:c r="B98" s="60"/>
      <x:c r="C98" s="54"/>
      <x:c r="D98" s="57" t="str">
        <x:f>IF($C98="","",IFERROR(VLOOKUP($C98,'Leads'!$A$6:$C$505,3,FALSE),"Lead ID not found"))</x:f>
      </x:c>
      <x:c r="E98" s="54"/>
      <x:c r="F98" s="54"/>
      <x:c r="G98" s="63"/>
      <x:c r="H98" s="54"/>
      <x:c r="I98" s="60"/>
      <x:c r="J98" s="54"/>
      <x:c r="K98" s="54"/>
      <x:c r="L98" s="54"/>
      <x:c r="M98" s="63"/>
    </x:row>
    <x:row r="99">
      <x:c r="A99" s="54"/>
      <x:c r="B99" s="60"/>
      <x:c r="C99" s="54"/>
      <x:c r="D99" s="57" t="str">
        <x:f>IF($C99="","",IFERROR(VLOOKUP($C99,'Leads'!$A$6:$C$505,3,FALSE),"Lead ID not found"))</x:f>
      </x:c>
      <x:c r="E99" s="54"/>
      <x:c r="F99" s="54"/>
      <x:c r="G99" s="63"/>
      <x:c r="H99" s="54"/>
      <x:c r="I99" s="60"/>
      <x:c r="J99" s="54"/>
      <x:c r="K99" s="54"/>
      <x:c r="L99" s="54"/>
      <x:c r="M99" s="63"/>
    </x:row>
    <x:row r="100">
      <x:c r="A100" s="54"/>
      <x:c r="B100" s="60"/>
      <x:c r="C100" s="54"/>
      <x:c r="D100" s="57" t="str">
        <x:f>IF($C100="","",IFERROR(VLOOKUP($C100,'Leads'!$A$6:$C$505,3,FALSE),"Lead ID not found"))</x:f>
      </x:c>
      <x:c r="E100" s="54"/>
      <x:c r="F100" s="54"/>
      <x:c r="G100" s="63"/>
      <x:c r="H100" s="54"/>
      <x:c r="I100" s="60"/>
      <x:c r="J100" s="54"/>
      <x:c r="K100" s="54"/>
      <x:c r="L100" s="54"/>
      <x:c r="M100" s="63"/>
    </x:row>
    <x:row r="101">
      <x:c r="A101" s="54"/>
      <x:c r="B101" s="60"/>
      <x:c r="C101" s="54"/>
      <x:c r="D101" s="57" t="str">
        <x:f>IF($C101="","",IFERROR(VLOOKUP($C101,'Leads'!$A$6:$C$505,3,FALSE),"Lead ID not found"))</x:f>
      </x:c>
      <x:c r="E101" s="54"/>
      <x:c r="F101" s="54"/>
      <x:c r="G101" s="63"/>
      <x:c r="H101" s="54"/>
      <x:c r="I101" s="60"/>
      <x:c r="J101" s="54"/>
      <x:c r="K101" s="54"/>
      <x:c r="L101" s="54"/>
      <x:c r="M101" s="63"/>
    </x:row>
    <x:row r="102">
      <x:c r="A102" s="54"/>
      <x:c r="B102" s="60"/>
      <x:c r="C102" s="54"/>
      <x:c r="D102" s="57" t="str">
        <x:f>IF($C102="","",IFERROR(VLOOKUP($C102,'Leads'!$A$6:$C$505,3,FALSE),"Lead ID not found"))</x:f>
      </x:c>
      <x:c r="E102" s="54"/>
      <x:c r="F102" s="54"/>
      <x:c r="G102" s="63"/>
      <x:c r="H102" s="54"/>
      <x:c r="I102" s="60"/>
      <x:c r="J102" s="54"/>
      <x:c r="K102" s="54"/>
      <x:c r="L102" s="54"/>
      <x:c r="M102" s="63"/>
    </x:row>
    <x:row r="103">
      <x:c r="A103" s="54"/>
      <x:c r="B103" s="60"/>
      <x:c r="C103" s="54"/>
      <x:c r="D103" s="57" t="str">
        <x:f>IF($C103="","",IFERROR(VLOOKUP($C103,'Leads'!$A$6:$C$505,3,FALSE),"Lead ID not found"))</x:f>
      </x:c>
      <x:c r="E103" s="54"/>
      <x:c r="F103" s="54"/>
      <x:c r="G103" s="63"/>
      <x:c r="H103" s="54"/>
      <x:c r="I103" s="60"/>
      <x:c r="J103" s="54"/>
      <x:c r="K103" s="54"/>
      <x:c r="L103" s="54"/>
      <x:c r="M103" s="63"/>
    </x:row>
    <x:row r="104">
      <x:c r="A104" s="54"/>
      <x:c r="B104" s="60"/>
      <x:c r="C104" s="54"/>
      <x:c r="D104" s="57" t="str">
        <x:f>IF($C104="","",IFERROR(VLOOKUP($C104,'Leads'!$A$6:$C$505,3,FALSE),"Lead ID not found"))</x:f>
      </x:c>
      <x:c r="E104" s="54"/>
      <x:c r="F104" s="54"/>
      <x:c r="G104" s="63"/>
      <x:c r="H104" s="54"/>
      <x:c r="I104" s="60"/>
      <x:c r="J104" s="54"/>
      <x:c r="K104" s="54"/>
      <x:c r="L104" s="54"/>
      <x:c r="M104" s="63"/>
    </x:row>
    <x:row r="105">
      <x:c r="A105" s="54"/>
      <x:c r="B105" s="60"/>
      <x:c r="C105" s="54"/>
      <x:c r="D105" s="57" t="str">
        <x:f>IF($C105="","",IFERROR(VLOOKUP($C105,'Leads'!$A$6:$C$505,3,FALSE),"Lead ID not found"))</x:f>
      </x:c>
      <x:c r="E105" s="54"/>
      <x:c r="F105" s="54"/>
      <x:c r="G105" s="63"/>
      <x:c r="H105" s="54"/>
      <x:c r="I105" s="60"/>
      <x:c r="J105" s="54"/>
      <x:c r="K105" s="54"/>
      <x:c r="L105" s="54"/>
      <x:c r="M105" s="63"/>
    </x:row>
    <x:row r="106">
      <x:c r="A106" s="54"/>
      <x:c r="B106" s="60"/>
      <x:c r="C106" s="54"/>
      <x:c r="D106" s="57" t="str">
        <x:f>IF($C106="","",IFERROR(VLOOKUP($C106,'Leads'!$A$6:$C$505,3,FALSE),"Lead ID not found"))</x:f>
      </x:c>
      <x:c r="E106" s="54"/>
      <x:c r="F106" s="54"/>
      <x:c r="G106" s="63"/>
      <x:c r="H106" s="54"/>
      <x:c r="I106" s="60"/>
      <x:c r="J106" s="54"/>
      <x:c r="K106" s="54"/>
      <x:c r="L106" s="54"/>
      <x:c r="M106" s="63"/>
    </x:row>
    <x:row r="107">
      <x:c r="A107" s="54"/>
      <x:c r="B107" s="60"/>
      <x:c r="C107" s="54"/>
      <x:c r="D107" s="57" t="str">
        <x:f>IF($C107="","",IFERROR(VLOOKUP($C107,'Leads'!$A$6:$C$505,3,FALSE),"Lead ID not found"))</x:f>
      </x:c>
      <x:c r="E107" s="54"/>
      <x:c r="F107" s="54"/>
      <x:c r="G107" s="63"/>
      <x:c r="H107" s="54"/>
      <x:c r="I107" s="60"/>
      <x:c r="J107" s="54"/>
      <x:c r="K107" s="54"/>
      <x:c r="L107" s="54"/>
      <x:c r="M107" s="63"/>
    </x:row>
    <x:row r="108">
      <x:c r="A108" s="54"/>
      <x:c r="B108" s="60"/>
      <x:c r="C108" s="54"/>
      <x:c r="D108" s="57" t="str">
        <x:f>IF($C108="","",IFERROR(VLOOKUP($C108,'Leads'!$A$6:$C$505,3,FALSE),"Lead ID not found"))</x:f>
      </x:c>
      <x:c r="E108" s="54"/>
      <x:c r="F108" s="54"/>
      <x:c r="G108" s="63"/>
      <x:c r="H108" s="54"/>
      <x:c r="I108" s="60"/>
      <x:c r="J108" s="54"/>
      <x:c r="K108" s="54"/>
      <x:c r="L108" s="54"/>
      <x:c r="M108" s="63"/>
    </x:row>
    <x:row r="109">
      <x:c r="A109" s="54"/>
      <x:c r="B109" s="60"/>
      <x:c r="C109" s="54"/>
      <x:c r="D109" s="57" t="str">
        <x:f>IF($C109="","",IFERROR(VLOOKUP($C109,'Leads'!$A$6:$C$505,3,FALSE),"Lead ID not found"))</x:f>
      </x:c>
      <x:c r="E109" s="54"/>
      <x:c r="F109" s="54"/>
      <x:c r="G109" s="63"/>
      <x:c r="H109" s="54"/>
      <x:c r="I109" s="60"/>
      <x:c r="J109" s="54"/>
      <x:c r="K109" s="54"/>
      <x:c r="L109" s="54"/>
      <x:c r="M109" s="63"/>
    </x:row>
    <x:row r="110">
      <x:c r="A110" s="54"/>
      <x:c r="B110" s="60"/>
      <x:c r="C110" s="54"/>
      <x:c r="D110" s="57" t="str">
        <x:f>IF($C110="","",IFERROR(VLOOKUP($C110,'Leads'!$A$6:$C$505,3,FALSE),"Lead ID not found"))</x:f>
      </x:c>
      <x:c r="E110" s="54"/>
      <x:c r="F110" s="54"/>
      <x:c r="G110" s="63"/>
      <x:c r="H110" s="54"/>
      <x:c r="I110" s="60"/>
      <x:c r="J110" s="54"/>
      <x:c r="K110" s="54"/>
      <x:c r="L110" s="54"/>
      <x:c r="M110" s="63"/>
    </x:row>
    <x:row r="111">
      <x:c r="A111" s="54"/>
      <x:c r="B111" s="60"/>
      <x:c r="C111" s="54"/>
      <x:c r="D111" s="57" t="str">
        <x:f>IF($C111="","",IFERROR(VLOOKUP($C111,'Leads'!$A$6:$C$505,3,FALSE),"Lead ID not found"))</x:f>
      </x:c>
      <x:c r="E111" s="54"/>
      <x:c r="F111" s="54"/>
      <x:c r="G111" s="63"/>
      <x:c r="H111" s="54"/>
      <x:c r="I111" s="60"/>
      <x:c r="J111" s="54"/>
      <x:c r="K111" s="54"/>
      <x:c r="L111" s="54"/>
      <x:c r="M111" s="63"/>
    </x:row>
    <x:row r="112">
      <x:c r="A112" s="54"/>
      <x:c r="B112" s="60"/>
      <x:c r="C112" s="54"/>
      <x:c r="D112" s="57" t="str">
        <x:f>IF($C112="","",IFERROR(VLOOKUP($C112,'Leads'!$A$6:$C$505,3,FALSE),"Lead ID not found"))</x:f>
      </x:c>
      <x:c r="E112" s="54"/>
      <x:c r="F112" s="54"/>
      <x:c r="G112" s="63"/>
      <x:c r="H112" s="54"/>
      <x:c r="I112" s="60"/>
      <x:c r="J112" s="54"/>
      <x:c r="K112" s="54"/>
      <x:c r="L112" s="54"/>
      <x:c r="M112" s="63"/>
    </x:row>
    <x:row r="113">
      <x:c r="A113" s="54"/>
      <x:c r="B113" s="60"/>
      <x:c r="C113" s="54"/>
      <x:c r="D113" s="57" t="str">
        <x:f>IF($C113="","",IFERROR(VLOOKUP($C113,'Leads'!$A$6:$C$505,3,FALSE),"Lead ID not found"))</x:f>
      </x:c>
      <x:c r="E113" s="54"/>
      <x:c r="F113" s="54"/>
      <x:c r="G113" s="63"/>
      <x:c r="H113" s="54"/>
      <x:c r="I113" s="60"/>
      <x:c r="J113" s="54"/>
      <x:c r="K113" s="54"/>
      <x:c r="L113" s="54"/>
      <x:c r="M113" s="63"/>
    </x:row>
    <x:row r="114">
      <x:c r="A114" s="54"/>
      <x:c r="B114" s="60"/>
      <x:c r="C114" s="54"/>
      <x:c r="D114" s="57" t="str">
        <x:f>IF($C114="","",IFERROR(VLOOKUP($C114,'Leads'!$A$6:$C$505,3,FALSE),"Lead ID not found"))</x:f>
      </x:c>
      <x:c r="E114" s="54"/>
      <x:c r="F114" s="54"/>
      <x:c r="G114" s="63"/>
      <x:c r="H114" s="54"/>
      <x:c r="I114" s="60"/>
      <x:c r="J114" s="54"/>
      <x:c r="K114" s="54"/>
      <x:c r="L114" s="54"/>
      <x:c r="M114" s="63"/>
    </x:row>
    <x:row r="115">
      <x:c r="A115" s="54"/>
      <x:c r="B115" s="60"/>
      <x:c r="C115" s="54"/>
      <x:c r="D115" s="57" t="str">
        <x:f>IF($C115="","",IFERROR(VLOOKUP($C115,'Leads'!$A$6:$C$505,3,FALSE),"Lead ID not found"))</x:f>
      </x:c>
      <x:c r="E115" s="54"/>
      <x:c r="F115" s="54"/>
      <x:c r="G115" s="63"/>
      <x:c r="H115" s="54"/>
      <x:c r="I115" s="60"/>
      <x:c r="J115" s="54"/>
      <x:c r="K115" s="54"/>
      <x:c r="L115" s="54"/>
      <x:c r="M115" s="63"/>
    </x:row>
    <x:row r="116">
      <x:c r="A116" s="54"/>
      <x:c r="B116" s="60"/>
      <x:c r="C116" s="54"/>
      <x:c r="D116" s="57" t="str">
        <x:f>IF($C116="","",IFERROR(VLOOKUP($C116,'Leads'!$A$6:$C$505,3,FALSE),"Lead ID not found"))</x:f>
      </x:c>
      <x:c r="E116" s="54"/>
      <x:c r="F116" s="54"/>
      <x:c r="G116" s="63"/>
      <x:c r="H116" s="54"/>
      <x:c r="I116" s="60"/>
      <x:c r="J116" s="54"/>
      <x:c r="K116" s="54"/>
      <x:c r="L116" s="54"/>
      <x:c r="M116" s="63"/>
    </x:row>
    <x:row r="117">
      <x:c r="A117" s="54"/>
      <x:c r="B117" s="60"/>
      <x:c r="C117" s="54"/>
      <x:c r="D117" s="57" t="str">
        <x:f>IF($C117="","",IFERROR(VLOOKUP($C117,'Leads'!$A$6:$C$505,3,FALSE),"Lead ID not found"))</x:f>
      </x:c>
      <x:c r="E117" s="54"/>
      <x:c r="F117" s="54"/>
      <x:c r="G117" s="63"/>
      <x:c r="H117" s="54"/>
      <x:c r="I117" s="60"/>
      <x:c r="J117" s="54"/>
      <x:c r="K117" s="54"/>
      <x:c r="L117" s="54"/>
      <x:c r="M117" s="63"/>
    </x:row>
    <x:row r="118">
      <x:c r="A118" s="54"/>
      <x:c r="B118" s="60"/>
      <x:c r="C118" s="54"/>
      <x:c r="D118" s="57" t="str">
        <x:f>IF($C118="","",IFERROR(VLOOKUP($C118,'Leads'!$A$6:$C$505,3,FALSE),"Lead ID not found"))</x:f>
      </x:c>
      <x:c r="E118" s="54"/>
      <x:c r="F118" s="54"/>
      <x:c r="G118" s="63"/>
      <x:c r="H118" s="54"/>
      <x:c r="I118" s="60"/>
      <x:c r="J118" s="54"/>
      <x:c r="K118" s="54"/>
      <x:c r="L118" s="54"/>
      <x:c r="M118" s="63"/>
    </x:row>
    <x:row r="119">
      <x:c r="A119" s="54"/>
      <x:c r="B119" s="60"/>
      <x:c r="C119" s="54"/>
      <x:c r="D119" s="57" t="str">
        <x:f>IF($C119="","",IFERROR(VLOOKUP($C119,'Leads'!$A$6:$C$505,3,FALSE),"Lead ID not found"))</x:f>
      </x:c>
      <x:c r="E119" s="54"/>
      <x:c r="F119" s="54"/>
      <x:c r="G119" s="63"/>
      <x:c r="H119" s="54"/>
      <x:c r="I119" s="60"/>
      <x:c r="J119" s="54"/>
      <x:c r="K119" s="54"/>
      <x:c r="L119" s="54"/>
      <x:c r="M119" s="63"/>
    </x:row>
    <x:row r="120">
      <x:c r="A120" s="54"/>
      <x:c r="B120" s="60"/>
      <x:c r="C120" s="54"/>
      <x:c r="D120" s="57" t="str">
        <x:f>IF($C120="","",IFERROR(VLOOKUP($C120,'Leads'!$A$6:$C$505,3,FALSE),"Lead ID not found"))</x:f>
      </x:c>
      <x:c r="E120" s="54"/>
      <x:c r="F120" s="54"/>
      <x:c r="G120" s="63"/>
      <x:c r="H120" s="54"/>
      <x:c r="I120" s="60"/>
      <x:c r="J120" s="54"/>
      <x:c r="K120" s="54"/>
      <x:c r="L120" s="54"/>
      <x:c r="M120" s="63"/>
    </x:row>
    <x:row r="121">
      <x:c r="A121" s="54"/>
      <x:c r="B121" s="60"/>
      <x:c r="C121" s="54"/>
      <x:c r="D121" s="57" t="str">
        <x:f>IF($C121="","",IFERROR(VLOOKUP($C121,'Leads'!$A$6:$C$505,3,FALSE),"Lead ID not found"))</x:f>
      </x:c>
      <x:c r="E121" s="54"/>
      <x:c r="F121" s="54"/>
      <x:c r="G121" s="63"/>
      <x:c r="H121" s="54"/>
      <x:c r="I121" s="60"/>
      <x:c r="J121" s="54"/>
      <x:c r="K121" s="54"/>
      <x:c r="L121" s="54"/>
      <x:c r="M121" s="63"/>
    </x:row>
    <x:row r="122">
      <x:c r="A122" s="54"/>
      <x:c r="B122" s="60"/>
      <x:c r="C122" s="54"/>
      <x:c r="D122" s="57" t="str">
        <x:f>IF($C122="","",IFERROR(VLOOKUP($C122,'Leads'!$A$6:$C$505,3,FALSE),"Lead ID not found"))</x:f>
      </x:c>
      <x:c r="E122" s="54"/>
      <x:c r="F122" s="54"/>
      <x:c r="G122" s="63"/>
      <x:c r="H122" s="54"/>
      <x:c r="I122" s="60"/>
      <x:c r="J122" s="54"/>
      <x:c r="K122" s="54"/>
      <x:c r="L122" s="54"/>
      <x:c r="M122" s="63"/>
    </x:row>
    <x:row r="123">
      <x:c r="A123" s="54"/>
      <x:c r="B123" s="60"/>
      <x:c r="C123" s="54"/>
      <x:c r="D123" s="57" t="str">
        <x:f>IF($C123="","",IFERROR(VLOOKUP($C123,'Leads'!$A$6:$C$505,3,FALSE),"Lead ID not found"))</x:f>
      </x:c>
      <x:c r="E123" s="54"/>
      <x:c r="F123" s="54"/>
      <x:c r="G123" s="63"/>
      <x:c r="H123" s="54"/>
      <x:c r="I123" s="60"/>
      <x:c r="J123" s="54"/>
      <x:c r="K123" s="54"/>
      <x:c r="L123" s="54"/>
      <x:c r="M123" s="63"/>
    </x:row>
    <x:row r="124">
      <x:c r="A124" s="54"/>
      <x:c r="B124" s="60"/>
      <x:c r="C124" s="54"/>
      <x:c r="D124" s="57" t="str">
        <x:f>IF($C124="","",IFERROR(VLOOKUP($C124,'Leads'!$A$6:$C$505,3,FALSE),"Lead ID not found"))</x:f>
      </x:c>
      <x:c r="E124" s="54"/>
      <x:c r="F124" s="54"/>
      <x:c r="G124" s="63"/>
      <x:c r="H124" s="54"/>
      <x:c r="I124" s="60"/>
      <x:c r="J124" s="54"/>
      <x:c r="K124" s="54"/>
      <x:c r="L124" s="54"/>
      <x:c r="M124" s="63"/>
    </x:row>
    <x:row r="125">
      <x:c r="A125" s="54"/>
      <x:c r="B125" s="60"/>
      <x:c r="C125" s="54"/>
      <x:c r="D125" s="57" t="str">
        <x:f>IF($C125="","",IFERROR(VLOOKUP($C125,'Leads'!$A$6:$C$505,3,FALSE),"Lead ID not found"))</x:f>
      </x:c>
      <x:c r="E125" s="54"/>
      <x:c r="F125" s="54"/>
      <x:c r="G125" s="63"/>
      <x:c r="H125" s="54"/>
      <x:c r="I125" s="60"/>
      <x:c r="J125" s="54"/>
      <x:c r="K125" s="54"/>
      <x:c r="L125" s="54"/>
      <x:c r="M125" s="63"/>
    </x:row>
    <x:row r="126">
      <x:c r="A126" s="54"/>
      <x:c r="B126" s="60"/>
      <x:c r="C126" s="54"/>
      <x:c r="D126" s="57" t="str">
        <x:f>IF($C126="","",IFERROR(VLOOKUP($C126,'Leads'!$A$6:$C$505,3,FALSE),"Lead ID not found"))</x:f>
      </x:c>
      <x:c r="E126" s="54"/>
      <x:c r="F126" s="54"/>
      <x:c r="G126" s="63"/>
      <x:c r="H126" s="54"/>
      <x:c r="I126" s="60"/>
      <x:c r="J126" s="54"/>
      <x:c r="K126" s="54"/>
      <x:c r="L126" s="54"/>
      <x:c r="M126" s="63"/>
    </x:row>
    <x:row r="127">
      <x:c r="A127" s="54"/>
      <x:c r="B127" s="60"/>
      <x:c r="C127" s="54"/>
      <x:c r="D127" s="57" t="str">
        <x:f>IF($C127="","",IFERROR(VLOOKUP($C127,'Leads'!$A$6:$C$505,3,FALSE),"Lead ID not found"))</x:f>
      </x:c>
      <x:c r="E127" s="54"/>
      <x:c r="F127" s="54"/>
      <x:c r="G127" s="63"/>
      <x:c r="H127" s="54"/>
      <x:c r="I127" s="60"/>
      <x:c r="J127" s="54"/>
      <x:c r="K127" s="54"/>
      <x:c r="L127" s="54"/>
      <x:c r="M127" s="63"/>
    </x:row>
    <x:row r="128">
      <x:c r="A128" s="54"/>
      <x:c r="B128" s="60"/>
      <x:c r="C128" s="54"/>
      <x:c r="D128" s="57" t="str">
        <x:f>IF($C128="","",IFERROR(VLOOKUP($C128,'Leads'!$A$6:$C$505,3,FALSE),"Lead ID not found"))</x:f>
      </x:c>
      <x:c r="E128" s="54"/>
      <x:c r="F128" s="54"/>
      <x:c r="G128" s="63"/>
      <x:c r="H128" s="54"/>
      <x:c r="I128" s="60"/>
      <x:c r="J128" s="54"/>
      <x:c r="K128" s="54"/>
      <x:c r="L128" s="54"/>
      <x:c r="M128" s="63"/>
    </x:row>
    <x:row r="129">
      <x:c r="A129" s="54"/>
      <x:c r="B129" s="60"/>
      <x:c r="C129" s="54"/>
      <x:c r="D129" s="57" t="str">
        <x:f>IF($C129="","",IFERROR(VLOOKUP($C129,'Leads'!$A$6:$C$505,3,FALSE),"Lead ID not found"))</x:f>
      </x:c>
      <x:c r="E129" s="54"/>
      <x:c r="F129" s="54"/>
      <x:c r="G129" s="63"/>
      <x:c r="H129" s="54"/>
      <x:c r="I129" s="60"/>
      <x:c r="J129" s="54"/>
      <x:c r="K129" s="54"/>
      <x:c r="L129" s="54"/>
      <x:c r="M129" s="63"/>
    </x:row>
    <x:row r="130">
      <x:c r="A130" s="54"/>
      <x:c r="B130" s="60"/>
      <x:c r="C130" s="54"/>
      <x:c r="D130" s="57" t="str">
        <x:f>IF($C130="","",IFERROR(VLOOKUP($C130,'Leads'!$A$6:$C$505,3,FALSE),"Lead ID not found"))</x:f>
      </x:c>
      <x:c r="E130" s="54"/>
      <x:c r="F130" s="54"/>
      <x:c r="G130" s="63"/>
      <x:c r="H130" s="54"/>
      <x:c r="I130" s="60"/>
      <x:c r="J130" s="54"/>
      <x:c r="K130" s="54"/>
      <x:c r="L130" s="54"/>
      <x:c r="M130" s="63"/>
    </x:row>
    <x:row r="131">
      <x:c r="A131" s="54"/>
      <x:c r="B131" s="60"/>
      <x:c r="C131" s="54"/>
      <x:c r="D131" s="57" t="str">
        <x:f>IF($C131="","",IFERROR(VLOOKUP($C131,'Leads'!$A$6:$C$505,3,FALSE),"Lead ID not found"))</x:f>
      </x:c>
      <x:c r="E131" s="54"/>
      <x:c r="F131" s="54"/>
      <x:c r="G131" s="63"/>
      <x:c r="H131" s="54"/>
      <x:c r="I131" s="60"/>
      <x:c r="J131" s="54"/>
      <x:c r="K131" s="54"/>
      <x:c r="L131" s="54"/>
      <x:c r="M131" s="63"/>
    </x:row>
    <x:row r="132">
      <x:c r="A132" s="54"/>
      <x:c r="B132" s="60"/>
      <x:c r="C132" s="54"/>
      <x:c r="D132" s="57" t="str">
        <x:f>IF($C132="","",IFERROR(VLOOKUP($C132,'Leads'!$A$6:$C$505,3,FALSE),"Lead ID not found"))</x:f>
      </x:c>
      <x:c r="E132" s="54"/>
      <x:c r="F132" s="54"/>
      <x:c r="G132" s="63"/>
      <x:c r="H132" s="54"/>
      <x:c r="I132" s="60"/>
      <x:c r="J132" s="54"/>
      <x:c r="K132" s="54"/>
      <x:c r="L132" s="54"/>
      <x:c r="M132" s="63"/>
    </x:row>
    <x:row r="133">
      <x:c r="A133" s="54"/>
      <x:c r="B133" s="60"/>
      <x:c r="C133" s="54"/>
      <x:c r="D133" s="57" t="str">
        <x:f>IF($C133="","",IFERROR(VLOOKUP($C133,'Leads'!$A$6:$C$505,3,FALSE),"Lead ID not found"))</x:f>
      </x:c>
      <x:c r="E133" s="54"/>
      <x:c r="F133" s="54"/>
      <x:c r="G133" s="63"/>
      <x:c r="H133" s="54"/>
      <x:c r="I133" s="60"/>
      <x:c r="J133" s="54"/>
      <x:c r="K133" s="54"/>
      <x:c r="L133" s="54"/>
      <x:c r="M133" s="63"/>
    </x:row>
    <x:row r="134">
      <x:c r="A134" s="54"/>
      <x:c r="B134" s="60"/>
      <x:c r="C134" s="54"/>
      <x:c r="D134" s="57" t="str">
        <x:f>IF($C134="","",IFERROR(VLOOKUP($C134,'Leads'!$A$6:$C$505,3,FALSE),"Lead ID not found"))</x:f>
      </x:c>
      <x:c r="E134" s="54"/>
      <x:c r="F134" s="54"/>
      <x:c r="G134" s="63"/>
      <x:c r="H134" s="54"/>
      <x:c r="I134" s="60"/>
      <x:c r="J134" s="54"/>
      <x:c r="K134" s="54"/>
      <x:c r="L134" s="54"/>
      <x:c r="M134" s="63"/>
    </x:row>
    <x:row r="135">
      <x:c r="A135" s="54"/>
      <x:c r="B135" s="60"/>
      <x:c r="C135" s="54"/>
      <x:c r="D135" s="57" t="str">
        <x:f>IF($C135="","",IFERROR(VLOOKUP($C135,'Leads'!$A$6:$C$505,3,FALSE),"Lead ID not found"))</x:f>
      </x:c>
      <x:c r="E135" s="54"/>
      <x:c r="F135" s="54"/>
      <x:c r="G135" s="63"/>
      <x:c r="H135" s="54"/>
      <x:c r="I135" s="60"/>
      <x:c r="J135" s="54"/>
      <x:c r="K135" s="54"/>
      <x:c r="L135" s="54"/>
      <x:c r="M135" s="63"/>
    </x:row>
    <x:row r="136">
      <x:c r="A136" s="54"/>
      <x:c r="B136" s="60"/>
      <x:c r="C136" s="54"/>
      <x:c r="D136" s="57" t="str">
        <x:f>IF($C136="","",IFERROR(VLOOKUP($C136,'Leads'!$A$6:$C$505,3,FALSE),"Lead ID not found"))</x:f>
      </x:c>
      <x:c r="E136" s="54"/>
      <x:c r="F136" s="54"/>
      <x:c r="G136" s="63"/>
      <x:c r="H136" s="54"/>
      <x:c r="I136" s="60"/>
      <x:c r="J136" s="54"/>
      <x:c r="K136" s="54"/>
      <x:c r="L136" s="54"/>
      <x:c r="M136" s="63"/>
    </x:row>
    <x:row r="137">
      <x:c r="A137" s="54"/>
      <x:c r="B137" s="60"/>
      <x:c r="C137" s="54"/>
      <x:c r="D137" s="57" t="str">
        <x:f>IF($C137="","",IFERROR(VLOOKUP($C137,'Leads'!$A$6:$C$505,3,FALSE),"Lead ID not found"))</x:f>
      </x:c>
      <x:c r="E137" s="54"/>
      <x:c r="F137" s="54"/>
      <x:c r="G137" s="63"/>
      <x:c r="H137" s="54"/>
      <x:c r="I137" s="60"/>
      <x:c r="J137" s="54"/>
      <x:c r="K137" s="54"/>
      <x:c r="L137" s="54"/>
      <x:c r="M137" s="63"/>
    </x:row>
    <x:row r="138">
      <x:c r="A138" s="54"/>
      <x:c r="B138" s="60"/>
      <x:c r="C138" s="54"/>
      <x:c r="D138" s="57" t="str">
        <x:f>IF($C138="","",IFERROR(VLOOKUP($C138,'Leads'!$A$6:$C$505,3,FALSE),"Lead ID not found"))</x:f>
      </x:c>
      <x:c r="E138" s="54"/>
      <x:c r="F138" s="54"/>
      <x:c r="G138" s="63"/>
      <x:c r="H138" s="54"/>
      <x:c r="I138" s="60"/>
      <x:c r="J138" s="54"/>
      <x:c r="K138" s="54"/>
      <x:c r="L138" s="54"/>
      <x:c r="M138" s="63"/>
    </x:row>
    <x:row r="139">
      <x:c r="A139" s="54"/>
      <x:c r="B139" s="60"/>
      <x:c r="C139" s="54"/>
      <x:c r="D139" s="57" t="str">
        <x:f>IF($C139="","",IFERROR(VLOOKUP($C139,'Leads'!$A$6:$C$505,3,FALSE),"Lead ID not found"))</x:f>
      </x:c>
      <x:c r="E139" s="54"/>
      <x:c r="F139" s="54"/>
      <x:c r="G139" s="63"/>
      <x:c r="H139" s="54"/>
      <x:c r="I139" s="60"/>
      <x:c r="J139" s="54"/>
      <x:c r="K139" s="54"/>
      <x:c r="L139" s="54"/>
      <x:c r="M139" s="63"/>
    </x:row>
    <x:row r="140">
      <x:c r="A140" s="54"/>
      <x:c r="B140" s="60"/>
      <x:c r="C140" s="54"/>
      <x:c r="D140" s="57" t="str">
        <x:f>IF($C140="","",IFERROR(VLOOKUP($C140,'Leads'!$A$6:$C$505,3,FALSE),"Lead ID not found"))</x:f>
      </x:c>
      <x:c r="E140" s="54"/>
      <x:c r="F140" s="54"/>
      <x:c r="G140" s="63"/>
      <x:c r="H140" s="54"/>
      <x:c r="I140" s="60"/>
      <x:c r="J140" s="54"/>
      <x:c r="K140" s="54"/>
      <x:c r="L140" s="54"/>
      <x:c r="M140" s="63"/>
    </x:row>
    <x:row r="141">
      <x:c r="A141" s="54"/>
      <x:c r="B141" s="60"/>
      <x:c r="C141" s="54"/>
      <x:c r="D141" s="57" t="str">
        <x:f>IF($C141="","",IFERROR(VLOOKUP($C141,'Leads'!$A$6:$C$505,3,FALSE),"Lead ID not found"))</x:f>
      </x:c>
      <x:c r="E141" s="54"/>
      <x:c r="F141" s="54"/>
      <x:c r="G141" s="63"/>
      <x:c r="H141" s="54"/>
      <x:c r="I141" s="60"/>
      <x:c r="J141" s="54"/>
      <x:c r="K141" s="54"/>
      <x:c r="L141" s="54"/>
      <x:c r="M141" s="63"/>
    </x:row>
    <x:row r="142">
      <x:c r="A142" s="54"/>
      <x:c r="B142" s="60"/>
      <x:c r="C142" s="54"/>
      <x:c r="D142" s="57" t="str">
        <x:f>IF($C142="","",IFERROR(VLOOKUP($C142,'Leads'!$A$6:$C$505,3,FALSE),"Lead ID not found"))</x:f>
      </x:c>
      <x:c r="E142" s="54"/>
      <x:c r="F142" s="54"/>
      <x:c r="G142" s="63"/>
      <x:c r="H142" s="54"/>
      <x:c r="I142" s="60"/>
      <x:c r="J142" s="54"/>
      <x:c r="K142" s="54"/>
      <x:c r="L142" s="54"/>
      <x:c r="M142" s="63"/>
    </x:row>
    <x:row r="143">
      <x:c r="A143" s="54"/>
      <x:c r="B143" s="60"/>
      <x:c r="C143" s="54"/>
      <x:c r="D143" s="57" t="str">
        <x:f>IF($C143="","",IFERROR(VLOOKUP($C143,'Leads'!$A$6:$C$505,3,FALSE),"Lead ID not found"))</x:f>
      </x:c>
      <x:c r="E143" s="54"/>
      <x:c r="F143" s="54"/>
      <x:c r="G143" s="63"/>
      <x:c r="H143" s="54"/>
      <x:c r="I143" s="60"/>
      <x:c r="J143" s="54"/>
      <x:c r="K143" s="54"/>
      <x:c r="L143" s="54"/>
      <x:c r="M143" s="63"/>
    </x:row>
    <x:row r="144">
      <x:c r="A144" s="54"/>
      <x:c r="B144" s="60"/>
      <x:c r="C144" s="54"/>
      <x:c r="D144" s="57" t="str">
        <x:f>IF($C144="","",IFERROR(VLOOKUP($C144,'Leads'!$A$6:$C$505,3,FALSE),"Lead ID not found"))</x:f>
      </x:c>
      <x:c r="E144" s="54"/>
      <x:c r="F144" s="54"/>
      <x:c r="G144" s="63"/>
      <x:c r="H144" s="54"/>
      <x:c r="I144" s="60"/>
      <x:c r="J144" s="54"/>
      <x:c r="K144" s="54"/>
      <x:c r="L144" s="54"/>
      <x:c r="M144" s="63"/>
    </x:row>
    <x:row r="145">
      <x:c r="A145" s="54"/>
      <x:c r="B145" s="60"/>
      <x:c r="C145" s="54"/>
      <x:c r="D145" s="57" t="str">
        <x:f>IF($C145="","",IFERROR(VLOOKUP($C145,'Leads'!$A$6:$C$505,3,FALSE),"Lead ID not found"))</x:f>
      </x:c>
      <x:c r="E145" s="54"/>
      <x:c r="F145" s="54"/>
      <x:c r="G145" s="63"/>
      <x:c r="H145" s="54"/>
      <x:c r="I145" s="60"/>
      <x:c r="J145" s="54"/>
      <x:c r="K145" s="54"/>
      <x:c r="L145" s="54"/>
      <x:c r="M145" s="63"/>
    </x:row>
    <x:row r="146">
      <x:c r="A146" s="54"/>
      <x:c r="B146" s="60"/>
      <x:c r="C146" s="54"/>
      <x:c r="D146" s="57" t="str">
        <x:f>IF($C146="","",IFERROR(VLOOKUP($C146,'Leads'!$A$6:$C$505,3,FALSE),"Lead ID not found"))</x:f>
      </x:c>
      <x:c r="E146" s="54"/>
      <x:c r="F146" s="54"/>
      <x:c r="G146" s="63"/>
      <x:c r="H146" s="54"/>
      <x:c r="I146" s="60"/>
      <x:c r="J146" s="54"/>
      <x:c r="K146" s="54"/>
      <x:c r="L146" s="54"/>
      <x:c r="M146" s="63"/>
    </x:row>
    <x:row r="147">
      <x:c r="A147" s="54"/>
      <x:c r="B147" s="60"/>
      <x:c r="C147" s="54"/>
      <x:c r="D147" s="57" t="str">
        <x:f>IF($C147="","",IFERROR(VLOOKUP($C147,'Leads'!$A$6:$C$505,3,FALSE),"Lead ID not found"))</x:f>
      </x:c>
      <x:c r="E147" s="54"/>
      <x:c r="F147" s="54"/>
      <x:c r="G147" s="63"/>
      <x:c r="H147" s="54"/>
      <x:c r="I147" s="60"/>
      <x:c r="J147" s="54"/>
      <x:c r="K147" s="54"/>
      <x:c r="L147" s="54"/>
      <x:c r="M147" s="63"/>
    </x:row>
    <x:row r="148">
      <x:c r="A148" s="54"/>
      <x:c r="B148" s="60"/>
      <x:c r="C148" s="54"/>
      <x:c r="D148" s="57" t="str">
        <x:f>IF($C148="","",IFERROR(VLOOKUP($C148,'Leads'!$A$6:$C$505,3,FALSE),"Lead ID not found"))</x:f>
      </x:c>
      <x:c r="E148" s="54"/>
      <x:c r="F148" s="54"/>
      <x:c r="G148" s="63"/>
      <x:c r="H148" s="54"/>
      <x:c r="I148" s="60"/>
      <x:c r="J148" s="54"/>
      <x:c r="K148" s="54"/>
      <x:c r="L148" s="54"/>
      <x:c r="M148" s="63"/>
    </x:row>
    <x:row r="149">
      <x:c r="A149" s="54"/>
      <x:c r="B149" s="60"/>
      <x:c r="C149" s="54"/>
      <x:c r="D149" s="57" t="str">
        <x:f>IF($C149="","",IFERROR(VLOOKUP($C149,'Leads'!$A$6:$C$505,3,FALSE),"Lead ID not found"))</x:f>
      </x:c>
      <x:c r="E149" s="54"/>
      <x:c r="F149" s="54"/>
      <x:c r="G149" s="63"/>
      <x:c r="H149" s="54"/>
      <x:c r="I149" s="60"/>
      <x:c r="J149" s="54"/>
      <x:c r="K149" s="54"/>
      <x:c r="L149" s="54"/>
      <x:c r="M149" s="63"/>
    </x:row>
    <x:row r="150">
      <x:c r="A150" s="54"/>
      <x:c r="B150" s="60"/>
      <x:c r="C150" s="54"/>
      <x:c r="D150" s="57" t="str">
        <x:f>IF($C150="","",IFERROR(VLOOKUP($C150,'Leads'!$A$6:$C$505,3,FALSE),"Lead ID not found"))</x:f>
      </x:c>
      <x:c r="E150" s="54"/>
      <x:c r="F150" s="54"/>
      <x:c r="G150" s="63"/>
      <x:c r="H150" s="54"/>
      <x:c r="I150" s="60"/>
      <x:c r="J150" s="54"/>
      <x:c r="K150" s="54"/>
      <x:c r="L150" s="54"/>
      <x:c r="M150" s="63"/>
    </x:row>
    <x:row r="151">
      <x:c r="A151" s="54"/>
      <x:c r="B151" s="60"/>
      <x:c r="C151" s="54"/>
      <x:c r="D151" s="57" t="str">
        <x:f>IF($C151="","",IFERROR(VLOOKUP($C151,'Leads'!$A$6:$C$505,3,FALSE),"Lead ID not found"))</x:f>
      </x:c>
      <x:c r="E151" s="54"/>
      <x:c r="F151" s="54"/>
      <x:c r="G151" s="63"/>
      <x:c r="H151" s="54"/>
      <x:c r="I151" s="60"/>
      <x:c r="J151" s="54"/>
      <x:c r="K151" s="54"/>
      <x:c r="L151" s="54"/>
      <x:c r="M151" s="63"/>
    </x:row>
    <x:row r="152">
      <x:c r="A152" s="54"/>
      <x:c r="B152" s="60"/>
      <x:c r="C152" s="54"/>
      <x:c r="D152" s="57" t="str">
        <x:f>IF($C152="","",IFERROR(VLOOKUP($C152,'Leads'!$A$6:$C$505,3,FALSE),"Lead ID not found"))</x:f>
      </x:c>
      <x:c r="E152" s="54"/>
      <x:c r="F152" s="54"/>
      <x:c r="G152" s="63"/>
      <x:c r="H152" s="54"/>
      <x:c r="I152" s="60"/>
      <x:c r="J152" s="54"/>
      <x:c r="K152" s="54"/>
      <x:c r="L152" s="54"/>
      <x:c r="M152" s="63"/>
    </x:row>
    <x:row r="153">
      <x:c r="A153" s="54"/>
      <x:c r="B153" s="60"/>
      <x:c r="C153" s="54"/>
      <x:c r="D153" s="57" t="str">
        <x:f>IF($C153="","",IFERROR(VLOOKUP($C153,'Leads'!$A$6:$C$505,3,FALSE),"Lead ID not found"))</x:f>
      </x:c>
      <x:c r="E153" s="54"/>
      <x:c r="F153" s="54"/>
      <x:c r="G153" s="63"/>
      <x:c r="H153" s="54"/>
      <x:c r="I153" s="60"/>
      <x:c r="J153" s="54"/>
      <x:c r="K153" s="54"/>
      <x:c r="L153" s="54"/>
      <x:c r="M153" s="63"/>
    </x:row>
    <x:row r="154">
      <x:c r="A154" s="54"/>
      <x:c r="B154" s="60"/>
      <x:c r="C154" s="54"/>
      <x:c r="D154" s="57" t="str">
        <x:f>IF($C154="","",IFERROR(VLOOKUP($C154,'Leads'!$A$6:$C$505,3,FALSE),"Lead ID not found"))</x:f>
      </x:c>
      <x:c r="E154" s="54"/>
      <x:c r="F154" s="54"/>
      <x:c r="G154" s="63"/>
      <x:c r="H154" s="54"/>
      <x:c r="I154" s="60"/>
      <x:c r="J154" s="54"/>
      <x:c r="K154" s="54"/>
      <x:c r="L154" s="54"/>
      <x:c r="M154" s="63"/>
    </x:row>
    <x:row r="155">
      <x:c r="A155" s="54"/>
      <x:c r="B155" s="60"/>
      <x:c r="C155" s="54"/>
      <x:c r="D155" s="57" t="str">
        <x:f>IF($C155="","",IFERROR(VLOOKUP($C155,'Leads'!$A$6:$C$505,3,FALSE),"Lead ID not found"))</x:f>
      </x:c>
      <x:c r="E155" s="54"/>
      <x:c r="F155" s="54"/>
      <x:c r="G155" s="63"/>
      <x:c r="H155" s="54"/>
      <x:c r="I155" s="60"/>
      <x:c r="J155" s="54"/>
      <x:c r="K155" s="54"/>
      <x:c r="L155" s="54"/>
      <x:c r="M155" s="63"/>
    </x:row>
    <x:row r="156">
      <x:c r="A156" s="54"/>
      <x:c r="B156" s="60"/>
      <x:c r="C156" s="54"/>
      <x:c r="D156" s="57" t="str">
        <x:f>IF($C156="","",IFERROR(VLOOKUP($C156,'Leads'!$A$6:$C$505,3,FALSE),"Lead ID not found"))</x:f>
      </x:c>
      <x:c r="E156" s="54"/>
      <x:c r="F156" s="54"/>
      <x:c r="G156" s="63"/>
      <x:c r="H156" s="54"/>
      <x:c r="I156" s="60"/>
      <x:c r="J156" s="54"/>
      <x:c r="K156" s="54"/>
      <x:c r="L156" s="54"/>
      <x:c r="M156" s="63"/>
    </x:row>
    <x:row r="157">
      <x:c r="A157" s="54"/>
      <x:c r="B157" s="60"/>
      <x:c r="C157" s="54"/>
      <x:c r="D157" s="57" t="str">
        <x:f>IF($C157="","",IFERROR(VLOOKUP($C157,'Leads'!$A$6:$C$505,3,FALSE),"Lead ID not found"))</x:f>
      </x:c>
      <x:c r="E157" s="54"/>
      <x:c r="F157" s="54"/>
      <x:c r="G157" s="63"/>
      <x:c r="H157" s="54"/>
      <x:c r="I157" s="60"/>
      <x:c r="J157" s="54"/>
      <x:c r="K157" s="54"/>
      <x:c r="L157" s="54"/>
      <x:c r="M157" s="63"/>
    </x:row>
    <x:row r="158">
      <x:c r="A158" s="54"/>
      <x:c r="B158" s="60"/>
      <x:c r="C158" s="54"/>
      <x:c r="D158" s="57" t="str">
        <x:f>IF($C158="","",IFERROR(VLOOKUP($C158,'Leads'!$A$6:$C$505,3,FALSE),"Lead ID not found"))</x:f>
      </x:c>
      <x:c r="E158" s="54"/>
      <x:c r="F158" s="54"/>
      <x:c r="G158" s="63"/>
      <x:c r="H158" s="54"/>
      <x:c r="I158" s="60"/>
      <x:c r="J158" s="54"/>
      <x:c r="K158" s="54"/>
      <x:c r="L158" s="54"/>
      <x:c r="M158" s="63"/>
    </x:row>
    <x:row r="159">
      <x:c r="A159" s="54"/>
      <x:c r="B159" s="60"/>
      <x:c r="C159" s="54"/>
      <x:c r="D159" s="57" t="str">
        <x:f>IF($C159="","",IFERROR(VLOOKUP($C159,'Leads'!$A$6:$C$505,3,FALSE),"Lead ID not found"))</x:f>
      </x:c>
      <x:c r="E159" s="54"/>
      <x:c r="F159" s="54"/>
      <x:c r="G159" s="63"/>
      <x:c r="H159" s="54"/>
      <x:c r="I159" s="60"/>
      <x:c r="J159" s="54"/>
      <x:c r="K159" s="54"/>
      <x:c r="L159" s="54"/>
      <x:c r="M159" s="63"/>
    </x:row>
    <x:row r="160">
      <x:c r="A160" s="54"/>
      <x:c r="B160" s="60"/>
      <x:c r="C160" s="54"/>
      <x:c r="D160" s="57" t="str">
        <x:f>IF($C160="","",IFERROR(VLOOKUP($C160,'Leads'!$A$6:$C$505,3,FALSE),"Lead ID not found"))</x:f>
      </x:c>
      <x:c r="E160" s="54"/>
      <x:c r="F160" s="54"/>
      <x:c r="G160" s="63"/>
      <x:c r="H160" s="54"/>
      <x:c r="I160" s="60"/>
      <x:c r="J160" s="54"/>
      <x:c r="K160" s="54"/>
      <x:c r="L160" s="54"/>
      <x:c r="M160" s="63"/>
    </x:row>
    <x:row r="161">
      <x:c r="A161" s="54"/>
      <x:c r="B161" s="60"/>
      <x:c r="C161" s="54"/>
      <x:c r="D161" s="57" t="str">
        <x:f>IF($C161="","",IFERROR(VLOOKUP($C161,'Leads'!$A$6:$C$505,3,FALSE),"Lead ID not found"))</x:f>
      </x:c>
      <x:c r="E161" s="54"/>
      <x:c r="F161" s="54"/>
      <x:c r="G161" s="63"/>
      <x:c r="H161" s="54"/>
      <x:c r="I161" s="60"/>
      <x:c r="J161" s="54"/>
      <x:c r="K161" s="54"/>
      <x:c r="L161" s="54"/>
      <x:c r="M161" s="63"/>
    </x:row>
    <x:row r="162">
      <x:c r="A162" s="54"/>
      <x:c r="B162" s="60"/>
      <x:c r="C162" s="54"/>
      <x:c r="D162" s="57" t="str">
        <x:f>IF($C162="","",IFERROR(VLOOKUP($C162,'Leads'!$A$6:$C$505,3,FALSE),"Lead ID not found"))</x:f>
      </x:c>
      <x:c r="E162" s="54"/>
      <x:c r="F162" s="54"/>
      <x:c r="G162" s="63"/>
      <x:c r="H162" s="54"/>
      <x:c r="I162" s="60"/>
      <x:c r="J162" s="54"/>
      <x:c r="K162" s="54"/>
      <x:c r="L162" s="54"/>
      <x:c r="M162" s="63"/>
    </x:row>
    <x:row r="163">
      <x:c r="A163" s="54"/>
      <x:c r="B163" s="60"/>
      <x:c r="C163" s="54"/>
      <x:c r="D163" s="57" t="str">
        <x:f>IF($C163="","",IFERROR(VLOOKUP($C163,'Leads'!$A$6:$C$505,3,FALSE),"Lead ID not found"))</x:f>
      </x:c>
      <x:c r="E163" s="54"/>
      <x:c r="F163" s="54"/>
      <x:c r="G163" s="63"/>
      <x:c r="H163" s="54"/>
      <x:c r="I163" s="60"/>
      <x:c r="J163" s="54"/>
      <x:c r="K163" s="54"/>
      <x:c r="L163" s="54"/>
      <x:c r="M163" s="63"/>
    </x:row>
    <x:row r="164">
      <x:c r="A164" s="54"/>
      <x:c r="B164" s="60"/>
      <x:c r="C164" s="54"/>
      <x:c r="D164" s="57" t="str">
        <x:f>IF($C164="","",IFERROR(VLOOKUP($C164,'Leads'!$A$6:$C$505,3,FALSE),"Lead ID not found"))</x:f>
      </x:c>
      <x:c r="E164" s="54"/>
      <x:c r="F164" s="54"/>
      <x:c r="G164" s="63"/>
      <x:c r="H164" s="54"/>
      <x:c r="I164" s="60"/>
      <x:c r="J164" s="54"/>
      <x:c r="K164" s="54"/>
      <x:c r="L164" s="54"/>
      <x:c r="M164" s="63"/>
    </x:row>
    <x:row r="165">
      <x:c r="A165" s="54"/>
      <x:c r="B165" s="60"/>
      <x:c r="C165" s="54"/>
      <x:c r="D165" s="57" t="str">
        <x:f>IF($C165="","",IFERROR(VLOOKUP($C165,'Leads'!$A$6:$C$505,3,FALSE),"Lead ID not found"))</x:f>
      </x:c>
      <x:c r="E165" s="54"/>
      <x:c r="F165" s="54"/>
      <x:c r="G165" s="63"/>
      <x:c r="H165" s="54"/>
      <x:c r="I165" s="60"/>
      <x:c r="J165" s="54"/>
      <x:c r="K165" s="54"/>
      <x:c r="L165" s="54"/>
      <x:c r="M165" s="63"/>
    </x:row>
    <x:row r="166">
      <x:c r="A166" s="54"/>
      <x:c r="B166" s="60"/>
      <x:c r="C166" s="54"/>
      <x:c r="D166" s="57" t="str">
        <x:f>IF($C166="","",IFERROR(VLOOKUP($C166,'Leads'!$A$6:$C$505,3,FALSE),"Lead ID not found"))</x:f>
      </x:c>
      <x:c r="E166" s="54"/>
      <x:c r="F166" s="54"/>
      <x:c r="G166" s="63"/>
      <x:c r="H166" s="54"/>
      <x:c r="I166" s="60"/>
      <x:c r="J166" s="54"/>
      <x:c r="K166" s="54"/>
      <x:c r="L166" s="54"/>
      <x:c r="M166" s="63"/>
    </x:row>
    <x:row r="167">
      <x:c r="A167" s="54"/>
      <x:c r="B167" s="60"/>
      <x:c r="C167" s="54"/>
      <x:c r="D167" s="57" t="str">
        <x:f>IF($C167="","",IFERROR(VLOOKUP($C167,'Leads'!$A$6:$C$505,3,FALSE),"Lead ID not found"))</x:f>
      </x:c>
      <x:c r="E167" s="54"/>
      <x:c r="F167" s="54"/>
      <x:c r="G167" s="63"/>
      <x:c r="H167" s="54"/>
      <x:c r="I167" s="60"/>
      <x:c r="J167" s="54"/>
      <x:c r="K167" s="54"/>
      <x:c r="L167" s="54"/>
      <x:c r="M167" s="63"/>
    </x:row>
    <x:row r="168">
      <x:c r="A168" s="54"/>
      <x:c r="B168" s="60"/>
      <x:c r="C168" s="54"/>
      <x:c r="D168" s="57" t="str">
        <x:f>IF($C168="","",IFERROR(VLOOKUP($C168,'Leads'!$A$6:$C$505,3,FALSE),"Lead ID not found"))</x:f>
      </x:c>
      <x:c r="E168" s="54"/>
      <x:c r="F168" s="54"/>
      <x:c r="G168" s="63"/>
      <x:c r="H168" s="54"/>
      <x:c r="I168" s="60"/>
      <x:c r="J168" s="54"/>
      <x:c r="K168" s="54"/>
      <x:c r="L168" s="54"/>
      <x:c r="M168" s="63"/>
    </x:row>
    <x:row r="169">
      <x:c r="A169" s="54"/>
      <x:c r="B169" s="60"/>
      <x:c r="C169" s="54"/>
      <x:c r="D169" s="57" t="str">
        <x:f>IF($C169="","",IFERROR(VLOOKUP($C169,'Leads'!$A$6:$C$505,3,FALSE),"Lead ID not found"))</x:f>
      </x:c>
      <x:c r="E169" s="54"/>
      <x:c r="F169" s="54"/>
      <x:c r="G169" s="63"/>
      <x:c r="H169" s="54"/>
      <x:c r="I169" s="60"/>
      <x:c r="J169" s="54"/>
      <x:c r="K169" s="54"/>
      <x:c r="L169" s="54"/>
      <x:c r="M169" s="63"/>
    </x:row>
    <x:row r="170">
      <x:c r="A170" s="54"/>
      <x:c r="B170" s="60"/>
      <x:c r="C170" s="54"/>
      <x:c r="D170" s="57" t="str">
        <x:f>IF($C170="","",IFERROR(VLOOKUP($C170,'Leads'!$A$6:$C$505,3,FALSE),"Lead ID not found"))</x:f>
      </x:c>
      <x:c r="E170" s="54"/>
      <x:c r="F170" s="54"/>
      <x:c r="G170" s="63"/>
      <x:c r="H170" s="54"/>
      <x:c r="I170" s="60"/>
      <x:c r="J170" s="54"/>
      <x:c r="K170" s="54"/>
      <x:c r="L170" s="54"/>
      <x:c r="M170" s="63"/>
    </x:row>
    <x:row r="171">
      <x:c r="A171" s="54"/>
      <x:c r="B171" s="60"/>
      <x:c r="C171" s="54"/>
      <x:c r="D171" s="57" t="str">
        <x:f>IF($C171="","",IFERROR(VLOOKUP($C171,'Leads'!$A$6:$C$505,3,FALSE),"Lead ID not found"))</x:f>
      </x:c>
      <x:c r="E171" s="54"/>
      <x:c r="F171" s="54"/>
      <x:c r="G171" s="63"/>
      <x:c r="H171" s="54"/>
      <x:c r="I171" s="60"/>
      <x:c r="J171" s="54"/>
      <x:c r="K171" s="54"/>
      <x:c r="L171" s="54"/>
      <x:c r="M171" s="63"/>
    </x:row>
    <x:row r="172">
      <x:c r="A172" s="54"/>
      <x:c r="B172" s="60"/>
      <x:c r="C172" s="54"/>
      <x:c r="D172" s="57" t="str">
        <x:f>IF($C172="","",IFERROR(VLOOKUP($C172,'Leads'!$A$6:$C$505,3,FALSE),"Lead ID not found"))</x:f>
      </x:c>
      <x:c r="E172" s="54"/>
      <x:c r="F172" s="54"/>
      <x:c r="G172" s="63"/>
      <x:c r="H172" s="54"/>
      <x:c r="I172" s="60"/>
      <x:c r="J172" s="54"/>
      <x:c r="K172" s="54"/>
      <x:c r="L172" s="54"/>
      <x:c r="M172" s="63"/>
    </x:row>
    <x:row r="173">
      <x:c r="A173" s="54"/>
      <x:c r="B173" s="60"/>
      <x:c r="C173" s="54"/>
      <x:c r="D173" s="57" t="str">
        <x:f>IF($C173="","",IFERROR(VLOOKUP($C173,'Leads'!$A$6:$C$505,3,FALSE),"Lead ID not found"))</x:f>
      </x:c>
      <x:c r="E173" s="54"/>
      <x:c r="F173" s="54"/>
      <x:c r="G173" s="63"/>
      <x:c r="H173" s="54"/>
      <x:c r="I173" s="60"/>
      <x:c r="J173" s="54"/>
      <x:c r="K173" s="54"/>
      <x:c r="L173" s="54"/>
      <x:c r="M173" s="63"/>
    </x:row>
    <x:row r="174">
      <x:c r="A174" s="54"/>
      <x:c r="B174" s="60"/>
      <x:c r="C174" s="54"/>
      <x:c r="D174" s="57" t="str">
        <x:f>IF($C174="","",IFERROR(VLOOKUP($C174,'Leads'!$A$6:$C$505,3,FALSE),"Lead ID not found"))</x:f>
      </x:c>
      <x:c r="E174" s="54"/>
      <x:c r="F174" s="54"/>
      <x:c r="G174" s="63"/>
      <x:c r="H174" s="54"/>
      <x:c r="I174" s="60"/>
      <x:c r="J174" s="54"/>
      <x:c r="K174" s="54"/>
      <x:c r="L174" s="54"/>
      <x:c r="M174" s="63"/>
    </x:row>
    <x:row r="175">
      <x:c r="A175" s="54"/>
      <x:c r="B175" s="60"/>
      <x:c r="C175" s="54"/>
      <x:c r="D175" s="57" t="str">
        <x:f>IF($C175="","",IFERROR(VLOOKUP($C175,'Leads'!$A$6:$C$505,3,FALSE),"Lead ID not found"))</x:f>
      </x:c>
      <x:c r="E175" s="54"/>
      <x:c r="F175" s="54"/>
      <x:c r="G175" s="63"/>
      <x:c r="H175" s="54"/>
      <x:c r="I175" s="60"/>
      <x:c r="J175" s="54"/>
      <x:c r="K175" s="54"/>
      <x:c r="L175" s="54"/>
      <x:c r="M175" s="63"/>
    </x:row>
    <x:row r="176">
      <x:c r="A176" s="54"/>
      <x:c r="B176" s="60"/>
      <x:c r="C176" s="54"/>
      <x:c r="D176" s="57" t="str">
        <x:f>IF($C176="","",IFERROR(VLOOKUP($C176,'Leads'!$A$6:$C$505,3,FALSE),"Lead ID not found"))</x:f>
      </x:c>
      <x:c r="E176" s="54"/>
      <x:c r="F176" s="54"/>
      <x:c r="G176" s="63"/>
      <x:c r="H176" s="54"/>
      <x:c r="I176" s="60"/>
      <x:c r="J176" s="54"/>
      <x:c r="K176" s="54"/>
      <x:c r="L176" s="54"/>
      <x:c r="M176" s="63"/>
    </x:row>
    <x:row r="177">
      <x:c r="A177" s="54"/>
      <x:c r="B177" s="60"/>
      <x:c r="C177" s="54"/>
      <x:c r="D177" s="57" t="str">
        <x:f>IF($C177="","",IFERROR(VLOOKUP($C177,'Leads'!$A$6:$C$505,3,FALSE),"Lead ID not found"))</x:f>
      </x:c>
      <x:c r="E177" s="54"/>
      <x:c r="F177" s="54"/>
      <x:c r="G177" s="63"/>
      <x:c r="H177" s="54"/>
      <x:c r="I177" s="60"/>
      <x:c r="J177" s="54"/>
      <x:c r="K177" s="54"/>
      <x:c r="L177" s="54"/>
      <x:c r="M177" s="63"/>
    </x:row>
    <x:row r="178">
      <x:c r="A178" s="54"/>
      <x:c r="B178" s="60"/>
      <x:c r="C178" s="54"/>
      <x:c r="D178" s="57" t="str">
        <x:f>IF($C178="","",IFERROR(VLOOKUP($C178,'Leads'!$A$6:$C$505,3,FALSE),"Lead ID not found"))</x:f>
      </x:c>
      <x:c r="E178" s="54"/>
      <x:c r="F178" s="54"/>
      <x:c r="G178" s="63"/>
      <x:c r="H178" s="54"/>
      <x:c r="I178" s="60"/>
      <x:c r="J178" s="54"/>
      <x:c r="K178" s="54"/>
      <x:c r="L178" s="54"/>
      <x:c r="M178" s="63"/>
    </x:row>
    <x:row r="179">
      <x:c r="A179" s="54"/>
      <x:c r="B179" s="60"/>
      <x:c r="C179" s="54"/>
      <x:c r="D179" s="57" t="str">
        <x:f>IF($C179="","",IFERROR(VLOOKUP($C179,'Leads'!$A$6:$C$505,3,FALSE),"Lead ID not found"))</x:f>
      </x:c>
      <x:c r="E179" s="54"/>
      <x:c r="F179" s="54"/>
      <x:c r="G179" s="63"/>
      <x:c r="H179" s="54"/>
      <x:c r="I179" s="60"/>
      <x:c r="J179" s="54"/>
      <x:c r="K179" s="54"/>
      <x:c r="L179" s="54"/>
      <x:c r="M179" s="63"/>
    </x:row>
    <x:row r="180">
      <x:c r="A180" s="54"/>
      <x:c r="B180" s="60"/>
      <x:c r="C180" s="54"/>
      <x:c r="D180" s="57" t="str">
        <x:f>IF($C180="","",IFERROR(VLOOKUP($C180,'Leads'!$A$6:$C$505,3,FALSE),"Lead ID not found"))</x:f>
      </x:c>
      <x:c r="E180" s="54"/>
      <x:c r="F180" s="54"/>
      <x:c r="G180" s="63"/>
      <x:c r="H180" s="54"/>
      <x:c r="I180" s="60"/>
      <x:c r="J180" s="54"/>
      <x:c r="K180" s="54"/>
      <x:c r="L180" s="54"/>
      <x:c r="M180" s="63"/>
    </x:row>
    <x:row r="181">
      <x:c r="A181" s="54"/>
      <x:c r="B181" s="60"/>
      <x:c r="C181" s="54"/>
      <x:c r="D181" s="57" t="str">
        <x:f>IF($C181="","",IFERROR(VLOOKUP($C181,'Leads'!$A$6:$C$505,3,FALSE),"Lead ID not found"))</x:f>
      </x:c>
      <x:c r="E181" s="54"/>
      <x:c r="F181" s="54"/>
      <x:c r="G181" s="63"/>
      <x:c r="H181" s="54"/>
      <x:c r="I181" s="60"/>
      <x:c r="J181" s="54"/>
      <x:c r="K181" s="54"/>
      <x:c r="L181" s="54"/>
      <x:c r="M181" s="63"/>
    </x:row>
    <x:row r="182">
      <x:c r="A182" s="54"/>
      <x:c r="B182" s="60"/>
      <x:c r="C182" s="54"/>
      <x:c r="D182" s="57" t="str">
        <x:f>IF($C182="","",IFERROR(VLOOKUP($C182,'Leads'!$A$6:$C$505,3,FALSE),"Lead ID not found"))</x:f>
      </x:c>
      <x:c r="E182" s="54"/>
      <x:c r="F182" s="54"/>
      <x:c r="G182" s="63"/>
      <x:c r="H182" s="54"/>
      <x:c r="I182" s="60"/>
      <x:c r="J182" s="54"/>
      <x:c r="K182" s="54"/>
      <x:c r="L182" s="54"/>
      <x:c r="M182" s="63"/>
    </x:row>
    <x:row r="183">
      <x:c r="A183" s="54"/>
      <x:c r="B183" s="60"/>
      <x:c r="C183" s="54"/>
      <x:c r="D183" s="57" t="str">
        <x:f>IF($C183="","",IFERROR(VLOOKUP($C183,'Leads'!$A$6:$C$505,3,FALSE),"Lead ID not found"))</x:f>
      </x:c>
      <x:c r="E183" s="54"/>
      <x:c r="F183" s="54"/>
      <x:c r="G183" s="63"/>
      <x:c r="H183" s="54"/>
      <x:c r="I183" s="60"/>
      <x:c r="J183" s="54"/>
      <x:c r="K183" s="54"/>
      <x:c r="L183" s="54"/>
      <x:c r="M183" s="63"/>
    </x:row>
    <x:row r="184">
      <x:c r="A184" s="54"/>
      <x:c r="B184" s="60"/>
      <x:c r="C184" s="54"/>
      <x:c r="D184" s="57" t="str">
        <x:f>IF($C184="","",IFERROR(VLOOKUP($C184,'Leads'!$A$6:$C$505,3,FALSE),"Lead ID not found"))</x:f>
      </x:c>
      <x:c r="E184" s="54"/>
      <x:c r="F184" s="54"/>
      <x:c r="G184" s="63"/>
      <x:c r="H184" s="54"/>
      <x:c r="I184" s="60"/>
      <x:c r="J184" s="54"/>
      <x:c r="K184" s="54"/>
      <x:c r="L184" s="54"/>
      <x:c r="M184" s="63"/>
    </x:row>
    <x:row r="185">
      <x:c r="A185" s="54"/>
      <x:c r="B185" s="60"/>
      <x:c r="C185" s="54"/>
      <x:c r="D185" s="57" t="str">
        <x:f>IF($C185="","",IFERROR(VLOOKUP($C185,'Leads'!$A$6:$C$505,3,FALSE),"Lead ID not found"))</x:f>
      </x:c>
      <x:c r="E185" s="54"/>
      <x:c r="F185" s="54"/>
      <x:c r="G185" s="63"/>
      <x:c r="H185" s="54"/>
      <x:c r="I185" s="60"/>
      <x:c r="J185" s="54"/>
      <x:c r="K185" s="54"/>
      <x:c r="L185" s="54"/>
      <x:c r="M185" s="63"/>
    </x:row>
    <x:row r="186">
      <x:c r="A186" s="54"/>
      <x:c r="B186" s="60"/>
      <x:c r="C186" s="54"/>
      <x:c r="D186" s="57" t="str">
        <x:f>IF($C186="","",IFERROR(VLOOKUP($C186,'Leads'!$A$6:$C$505,3,FALSE),"Lead ID not found"))</x:f>
      </x:c>
      <x:c r="E186" s="54"/>
      <x:c r="F186" s="54"/>
      <x:c r="G186" s="63"/>
      <x:c r="H186" s="54"/>
      <x:c r="I186" s="60"/>
      <x:c r="J186" s="54"/>
      <x:c r="K186" s="54"/>
      <x:c r="L186" s="54"/>
      <x:c r="M186" s="63"/>
    </x:row>
    <x:row r="187">
      <x:c r="A187" s="54"/>
      <x:c r="B187" s="60"/>
      <x:c r="C187" s="54"/>
      <x:c r="D187" s="57" t="str">
        <x:f>IF($C187="","",IFERROR(VLOOKUP($C187,'Leads'!$A$6:$C$505,3,FALSE),"Lead ID not found"))</x:f>
      </x:c>
      <x:c r="E187" s="54"/>
      <x:c r="F187" s="54"/>
      <x:c r="G187" s="63"/>
      <x:c r="H187" s="54"/>
      <x:c r="I187" s="60"/>
      <x:c r="J187" s="54"/>
      <x:c r="K187" s="54"/>
      <x:c r="L187" s="54"/>
      <x:c r="M187" s="63"/>
    </x:row>
    <x:row r="188">
      <x:c r="A188" s="54"/>
      <x:c r="B188" s="60"/>
      <x:c r="C188" s="54"/>
      <x:c r="D188" s="57" t="str">
        <x:f>IF($C188="","",IFERROR(VLOOKUP($C188,'Leads'!$A$6:$C$505,3,FALSE),"Lead ID not found"))</x:f>
      </x:c>
      <x:c r="E188" s="54"/>
      <x:c r="F188" s="54"/>
      <x:c r="G188" s="63"/>
      <x:c r="H188" s="54"/>
      <x:c r="I188" s="60"/>
      <x:c r="J188" s="54"/>
      <x:c r="K188" s="54"/>
      <x:c r="L188" s="54"/>
      <x:c r="M188" s="63"/>
    </x:row>
    <x:row r="189">
      <x:c r="A189" s="54"/>
      <x:c r="B189" s="60"/>
      <x:c r="C189" s="54"/>
      <x:c r="D189" s="57" t="str">
        <x:f>IF($C189="","",IFERROR(VLOOKUP($C189,'Leads'!$A$6:$C$505,3,FALSE),"Lead ID not found"))</x:f>
      </x:c>
      <x:c r="E189" s="54"/>
      <x:c r="F189" s="54"/>
      <x:c r="G189" s="63"/>
      <x:c r="H189" s="54"/>
      <x:c r="I189" s="60"/>
      <x:c r="J189" s="54"/>
      <x:c r="K189" s="54"/>
      <x:c r="L189" s="54"/>
      <x:c r="M189" s="63"/>
    </x:row>
    <x:row r="190">
      <x:c r="A190" s="54"/>
      <x:c r="B190" s="60"/>
      <x:c r="C190" s="54"/>
      <x:c r="D190" s="57" t="str">
        <x:f>IF($C190="","",IFERROR(VLOOKUP($C190,'Leads'!$A$6:$C$505,3,FALSE),"Lead ID not found"))</x:f>
      </x:c>
      <x:c r="E190" s="54"/>
      <x:c r="F190" s="54"/>
      <x:c r="G190" s="63"/>
      <x:c r="H190" s="54"/>
      <x:c r="I190" s="60"/>
      <x:c r="J190" s="54"/>
      <x:c r="K190" s="54"/>
      <x:c r="L190" s="54"/>
      <x:c r="M190" s="63"/>
    </x:row>
    <x:row r="191">
      <x:c r="A191" s="54"/>
      <x:c r="B191" s="60"/>
      <x:c r="C191" s="54"/>
      <x:c r="D191" s="57" t="str">
        <x:f>IF($C191="","",IFERROR(VLOOKUP($C191,'Leads'!$A$6:$C$505,3,FALSE),"Lead ID not found"))</x:f>
      </x:c>
      <x:c r="E191" s="54"/>
      <x:c r="F191" s="54"/>
      <x:c r="G191" s="63"/>
      <x:c r="H191" s="54"/>
      <x:c r="I191" s="60"/>
      <x:c r="J191" s="54"/>
      <x:c r="K191" s="54"/>
      <x:c r="L191" s="54"/>
      <x:c r="M191" s="63"/>
    </x:row>
    <x:row r="192">
      <x:c r="A192" s="54"/>
      <x:c r="B192" s="60"/>
      <x:c r="C192" s="54"/>
      <x:c r="D192" s="57" t="str">
        <x:f>IF($C192="","",IFERROR(VLOOKUP($C192,'Leads'!$A$6:$C$505,3,FALSE),"Lead ID not found"))</x:f>
      </x:c>
      <x:c r="E192" s="54"/>
      <x:c r="F192" s="54"/>
      <x:c r="G192" s="63"/>
      <x:c r="H192" s="54"/>
      <x:c r="I192" s="60"/>
      <x:c r="J192" s="54"/>
      <x:c r="K192" s="54"/>
      <x:c r="L192" s="54"/>
      <x:c r="M192" s="63"/>
    </x:row>
    <x:row r="193">
      <x:c r="A193" s="54"/>
      <x:c r="B193" s="60"/>
      <x:c r="C193" s="54"/>
      <x:c r="D193" s="57" t="str">
        <x:f>IF($C193="","",IFERROR(VLOOKUP($C193,'Leads'!$A$6:$C$505,3,FALSE),"Lead ID not found"))</x:f>
      </x:c>
      <x:c r="E193" s="54"/>
      <x:c r="F193" s="54"/>
      <x:c r="G193" s="63"/>
      <x:c r="H193" s="54"/>
      <x:c r="I193" s="60"/>
      <x:c r="J193" s="54"/>
      <x:c r="K193" s="54"/>
      <x:c r="L193" s="54"/>
      <x:c r="M193" s="63"/>
    </x:row>
    <x:row r="194">
      <x:c r="A194" s="54"/>
      <x:c r="B194" s="60"/>
      <x:c r="C194" s="54"/>
      <x:c r="D194" s="57" t="str">
        <x:f>IF($C194="","",IFERROR(VLOOKUP($C194,'Leads'!$A$6:$C$505,3,FALSE),"Lead ID not found"))</x:f>
      </x:c>
      <x:c r="E194" s="54"/>
      <x:c r="F194" s="54"/>
      <x:c r="G194" s="63"/>
      <x:c r="H194" s="54"/>
      <x:c r="I194" s="60"/>
      <x:c r="J194" s="54"/>
      <x:c r="K194" s="54"/>
      <x:c r="L194" s="54"/>
      <x:c r="M194" s="63"/>
    </x:row>
    <x:row r="195">
      <x:c r="A195" s="54"/>
      <x:c r="B195" s="60"/>
      <x:c r="C195" s="54"/>
      <x:c r="D195" s="57" t="str">
        <x:f>IF($C195="","",IFERROR(VLOOKUP($C195,'Leads'!$A$6:$C$505,3,FALSE),"Lead ID not found"))</x:f>
      </x:c>
      <x:c r="E195" s="54"/>
      <x:c r="F195" s="54"/>
      <x:c r="G195" s="63"/>
      <x:c r="H195" s="54"/>
      <x:c r="I195" s="60"/>
      <x:c r="J195" s="54"/>
      <x:c r="K195" s="54"/>
      <x:c r="L195" s="54"/>
      <x:c r="M195" s="63"/>
    </x:row>
    <x:row r="196">
      <x:c r="A196" s="54"/>
      <x:c r="B196" s="60"/>
      <x:c r="C196" s="54"/>
      <x:c r="D196" s="57" t="str">
        <x:f>IF($C196="","",IFERROR(VLOOKUP($C196,'Leads'!$A$6:$C$505,3,FALSE),"Lead ID not found"))</x:f>
      </x:c>
      <x:c r="E196" s="54"/>
      <x:c r="F196" s="54"/>
      <x:c r="G196" s="63"/>
      <x:c r="H196" s="54"/>
      <x:c r="I196" s="60"/>
      <x:c r="J196" s="54"/>
      <x:c r="K196" s="54"/>
      <x:c r="L196" s="54"/>
      <x:c r="M196" s="63"/>
    </x:row>
    <x:row r="197">
      <x:c r="A197" s="54"/>
      <x:c r="B197" s="60"/>
      <x:c r="C197" s="54"/>
      <x:c r="D197" s="57" t="str">
        <x:f>IF($C197="","",IFERROR(VLOOKUP($C197,'Leads'!$A$6:$C$505,3,FALSE),"Lead ID not found"))</x:f>
      </x:c>
      <x:c r="E197" s="54"/>
      <x:c r="F197" s="54"/>
      <x:c r="G197" s="63"/>
      <x:c r="H197" s="54"/>
      <x:c r="I197" s="60"/>
      <x:c r="J197" s="54"/>
      <x:c r="K197" s="54"/>
      <x:c r="L197" s="54"/>
      <x:c r="M197" s="63"/>
    </x:row>
    <x:row r="198">
      <x:c r="A198" s="54"/>
      <x:c r="B198" s="60"/>
      <x:c r="C198" s="54"/>
      <x:c r="D198" s="57" t="str">
        <x:f>IF($C198="","",IFERROR(VLOOKUP($C198,'Leads'!$A$6:$C$505,3,FALSE),"Lead ID not found"))</x:f>
      </x:c>
      <x:c r="E198" s="54"/>
      <x:c r="F198" s="54"/>
      <x:c r="G198" s="63"/>
      <x:c r="H198" s="54"/>
      <x:c r="I198" s="60"/>
      <x:c r="J198" s="54"/>
      <x:c r="K198" s="54"/>
      <x:c r="L198" s="54"/>
      <x:c r="M198" s="63"/>
    </x:row>
    <x:row r="199">
      <x:c r="A199" s="54"/>
      <x:c r="B199" s="60"/>
      <x:c r="C199" s="54"/>
      <x:c r="D199" s="57" t="str">
        <x:f>IF($C199="","",IFERROR(VLOOKUP($C199,'Leads'!$A$6:$C$505,3,FALSE),"Lead ID not found"))</x:f>
      </x:c>
      <x:c r="E199" s="54"/>
      <x:c r="F199" s="54"/>
      <x:c r="G199" s="63"/>
      <x:c r="H199" s="54"/>
      <x:c r="I199" s="60"/>
      <x:c r="J199" s="54"/>
      <x:c r="K199" s="54"/>
      <x:c r="L199" s="54"/>
      <x:c r="M199" s="63"/>
    </x:row>
    <x:row r="200">
      <x:c r="A200" s="54"/>
      <x:c r="B200" s="60"/>
      <x:c r="C200" s="54"/>
      <x:c r="D200" s="57" t="str">
        <x:f>IF($C200="","",IFERROR(VLOOKUP($C200,'Leads'!$A$6:$C$505,3,FALSE),"Lead ID not found"))</x:f>
      </x:c>
      <x:c r="E200" s="54"/>
      <x:c r="F200" s="54"/>
      <x:c r="G200" s="63"/>
      <x:c r="H200" s="54"/>
      <x:c r="I200" s="60"/>
      <x:c r="J200" s="54"/>
      <x:c r="K200" s="54"/>
      <x:c r="L200" s="54"/>
      <x:c r="M200" s="63"/>
    </x:row>
    <x:row r="201">
      <x:c r="A201" s="54"/>
      <x:c r="B201" s="60"/>
      <x:c r="C201" s="54"/>
      <x:c r="D201" s="57" t="str">
        <x:f>IF($C201="","",IFERROR(VLOOKUP($C201,'Leads'!$A$6:$C$505,3,FALSE),"Lead ID not found"))</x:f>
      </x:c>
      <x:c r="E201" s="54"/>
      <x:c r="F201" s="54"/>
      <x:c r="G201" s="63"/>
      <x:c r="H201" s="54"/>
      <x:c r="I201" s="60"/>
      <x:c r="J201" s="54"/>
      <x:c r="K201" s="54"/>
      <x:c r="L201" s="54"/>
      <x:c r="M201" s="63"/>
    </x:row>
    <x:row r="202">
      <x:c r="A202" s="54"/>
      <x:c r="B202" s="60"/>
      <x:c r="C202" s="54"/>
      <x:c r="D202" s="57" t="str">
        <x:f>IF($C202="","",IFERROR(VLOOKUP($C202,'Leads'!$A$6:$C$505,3,FALSE),"Lead ID not found"))</x:f>
      </x:c>
      <x:c r="E202" s="54"/>
      <x:c r="F202" s="54"/>
      <x:c r="G202" s="63"/>
      <x:c r="H202" s="54"/>
      <x:c r="I202" s="60"/>
      <x:c r="J202" s="54"/>
      <x:c r="K202" s="54"/>
      <x:c r="L202" s="54"/>
      <x:c r="M202" s="63"/>
    </x:row>
    <x:row r="203">
      <x:c r="A203" s="54"/>
      <x:c r="B203" s="60"/>
      <x:c r="C203" s="54"/>
      <x:c r="D203" s="57" t="str">
        <x:f>IF($C203="","",IFERROR(VLOOKUP($C203,'Leads'!$A$6:$C$505,3,FALSE),"Lead ID not found"))</x:f>
      </x:c>
      <x:c r="E203" s="54"/>
      <x:c r="F203" s="54"/>
      <x:c r="G203" s="63"/>
      <x:c r="H203" s="54"/>
      <x:c r="I203" s="60"/>
      <x:c r="J203" s="54"/>
      <x:c r="K203" s="54"/>
      <x:c r="L203" s="54"/>
      <x:c r="M203" s="63"/>
    </x:row>
    <x:row r="204">
      <x:c r="A204" s="54"/>
      <x:c r="B204" s="60"/>
      <x:c r="C204" s="54"/>
      <x:c r="D204" s="57" t="str">
        <x:f>IF($C204="","",IFERROR(VLOOKUP($C204,'Leads'!$A$6:$C$505,3,FALSE),"Lead ID not found"))</x:f>
      </x:c>
      <x:c r="E204" s="54"/>
      <x:c r="F204" s="54"/>
      <x:c r="G204" s="63"/>
      <x:c r="H204" s="54"/>
      <x:c r="I204" s="60"/>
      <x:c r="J204" s="54"/>
      <x:c r="K204" s="54"/>
      <x:c r="L204" s="54"/>
      <x:c r="M204" s="63"/>
    </x:row>
    <x:row r="205">
      <x:c r="A205" s="54"/>
      <x:c r="B205" s="60"/>
      <x:c r="C205" s="54"/>
      <x:c r="D205" s="57" t="str">
        <x:f>IF($C205="","",IFERROR(VLOOKUP($C205,'Leads'!$A$6:$C$505,3,FALSE),"Lead ID not found"))</x:f>
      </x:c>
      <x:c r="E205" s="54"/>
      <x:c r="F205" s="54"/>
      <x:c r="G205" s="63"/>
      <x:c r="H205" s="54"/>
      <x:c r="I205" s="60"/>
      <x:c r="J205" s="54"/>
      <x:c r="K205" s="54"/>
      <x:c r="L205" s="54"/>
      <x:c r="M205" s="63"/>
    </x:row>
    <x:row r="206">
      <x:c r="A206" s="54"/>
      <x:c r="B206" s="60"/>
      <x:c r="C206" s="54"/>
      <x:c r="D206" s="57" t="str">
        <x:f>IF($C206="","",IFERROR(VLOOKUP($C206,'Leads'!$A$6:$C$505,3,FALSE),"Lead ID not found"))</x:f>
      </x:c>
      <x:c r="E206" s="54"/>
      <x:c r="F206" s="54"/>
      <x:c r="G206" s="63"/>
      <x:c r="H206" s="54"/>
      <x:c r="I206" s="60"/>
      <x:c r="J206" s="54"/>
      <x:c r="K206" s="54"/>
      <x:c r="L206" s="54"/>
      <x:c r="M206" s="63"/>
    </x:row>
    <x:row r="207">
      <x:c r="A207" s="54"/>
      <x:c r="B207" s="60"/>
      <x:c r="C207" s="54"/>
      <x:c r="D207" s="57" t="str">
        <x:f>IF($C207="","",IFERROR(VLOOKUP($C207,'Leads'!$A$6:$C$505,3,FALSE),"Lead ID not found"))</x:f>
      </x:c>
      <x:c r="E207" s="54"/>
      <x:c r="F207" s="54"/>
      <x:c r="G207" s="63"/>
      <x:c r="H207" s="54"/>
      <x:c r="I207" s="60"/>
      <x:c r="J207" s="54"/>
      <x:c r="K207" s="54"/>
      <x:c r="L207" s="54"/>
      <x:c r="M207" s="63"/>
    </x:row>
    <x:row r="208">
      <x:c r="A208" s="54"/>
      <x:c r="B208" s="60"/>
      <x:c r="C208" s="54"/>
      <x:c r="D208" s="57" t="str">
        <x:f>IF($C208="","",IFERROR(VLOOKUP($C208,'Leads'!$A$6:$C$505,3,FALSE),"Lead ID not found"))</x:f>
      </x:c>
      <x:c r="E208" s="54"/>
      <x:c r="F208" s="54"/>
      <x:c r="G208" s="63"/>
      <x:c r="H208" s="54"/>
      <x:c r="I208" s="60"/>
      <x:c r="J208" s="54"/>
      <x:c r="K208" s="54"/>
      <x:c r="L208" s="54"/>
      <x:c r="M208" s="63"/>
    </x:row>
    <x:row r="209">
      <x:c r="A209" s="54"/>
      <x:c r="B209" s="60"/>
      <x:c r="C209" s="54"/>
      <x:c r="D209" s="57" t="str">
        <x:f>IF($C209="","",IFERROR(VLOOKUP($C209,'Leads'!$A$6:$C$505,3,FALSE),"Lead ID not found"))</x:f>
      </x:c>
      <x:c r="E209" s="54"/>
      <x:c r="F209" s="54"/>
      <x:c r="G209" s="63"/>
      <x:c r="H209" s="54"/>
      <x:c r="I209" s="60"/>
      <x:c r="J209" s="54"/>
      <x:c r="K209" s="54"/>
      <x:c r="L209" s="54"/>
      <x:c r="M209" s="63"/>
    </x:row>
    <x:row r="210">
      <x:c r="A210" s="54"/>
      <x:c r="B210" s="60"/>
      <x:c r="C210" s="54"/>
      <x:c r="D210" s="57" t="str">
        <x:f>IF($C210="","",IFERROR(VLOOKUP($C210,'Leads'!$A$6:$C$505,3,FALSE),"Lead ID not found"))</x:f>
      </x:c>
      <x:c r="E210" s="54"/>
      <x:c r="F210" s="54"/>
      <x:c r="G210" s="63"/>
      <x:c r="H210" s="54"/>
      <x:c r="I210" s="60"/>
      <x:c r="J210" s="54"/>
      <x:c r="K210" s="54"/>
      <x:c r="L210" s="54"/>
      <x:c r="M210" s="63"/>
    </x:row>
    <x:row r="211">
      <x:c r="A211" s="54"/>
      <x:c r="B211" s="60"/>
      <x:c r="C211" s="54"/>
      <x:c r="D211" s="57" t="str">
        <x:f>IF($C211="","",IFERROR(VLOOKUP($C211,'Leads'!$A$6:$C$505,3,FALSE),"Lead ID not found"))</x:f>
      </x:c>
      <x:c r="E211" s="54"/>
      <x:c r="F211" s="54"/>
      <x:c r="G211" s="63"/>
      <x:c r="H211" s="54"/>
      <x:c r="I211" s="60"/>
      <x:c r="J211" s="54"/>
      <x:c r="K211" s="54"/>
      <x:c r="L211" s="54"/>
      <x:c r="M211" s="63"/>
    </x:row>
    <x:row r="212">
      <x:c r="A212" s="54"/>
      <x:c r="B212" s="60"/>
      <x:c r="C212" s="54"/>
      <x:c r="D212" s="57" t="str">
        <x:f>IF($C212="","",IFERROR(VLOOKUP($C212,'Leads'!$A$6:$C$505,3,FALSE),"Lead ID not found"))</x:f>
      </x:c>
      <x:c r="E212" s="54"/>
      <x:c r="F212" s="54"/>
      <x:c r="G212" s="63"/>
      <x:c r="H212" s="54"/>
      <x:c r="I212" s="60"/>
      <x:c r="J212" s="54"/>
      <x:c r="K212" s="54"/>
      <x:c r="L212" s="54"/>
      <x:c r="M212" s="63"/>
    </x:row>
    <x:row r="213">
      <x:c r="A213" s="54"/>
      <x:c r="B213" s="60"/>
      <x:c r="C213" s="54"/>
      <x:c r="D213" s="57" t="str">
        <x:f>IF($C213="","",IFERROR(VLOOKUP($C213,'Leads'!$A$6:$C$505,3,FALSE),"Lead ID not found"))</x:f>
      </x:c>
      <x:c r="E213" s="54"/>
      <x:c r="F213" s="54"/>
      <x:c r="G213" s="63"/>
      <x:c r="H213" s="54"/>
      <x:c r="I213" s="60"/>
      <x:c r="J213" s="54"/>
      <x:c r="K213" s="54"/>
      <x:c r="L213" s="54"/>
      <x:c r="M213" s="63"/>
    </x:row>
    <x:row r="214">
      <x:c r="A214" s="54"/>
      <x:c r="B214" s="60"/>
      <x:c r="C214" s="54"/>
      <x:c r="D214" s="57" t="str">
        <x:f>IF($C214="","",IFERROR(VLOOKUP($C214,'Leads'!$A$6:$C$505,3,FALSE),"Lead ID not found"))</x:f>
      </x:c>
      <x:c r="E214" s="54"/>
      <x:c r="F214" s="54"/>
      <x:c r="G214" s="63"/>
      <x:c r="H214" s="54"/>
      <x:c r="I214" s="60"/>
      <x:c r="J214" s="54"/>
      <x:c r="K214" s="54"/>
      <x:c r="L214" s="54"/>
      <x:c r="M214" s="63"/>
    </x:row>
    <x:row r="215">
      <x:c r="A215" s="54"/>
      <x:c r="B215" s="60"/>
      <x:c r="C215" s="54"/>
      <x:c r="D215" s="57" t="str">
        <x:f>IF($C215="","",IFERROR(VLOOKUP($C215,'Leads'!$A$6:$C$505,3,FALSE),"Lead ID not found"))</x:f>
      </x:c>
      <x:c r="E215" s="54"/>
      <x:c r="F215" s="54"/>
      <x:c r="G215" s="63"/>
      <x:c r="H215" s="54"/>
      <x:c r="I215" s="60"/>
      <x:c r="J215" s="54"/>
      <x:c r="K215" s="54"/>
      <x:c r="L215" s="54"/>
      <x:c r="M215" s="63"/>
    </x:row>
    <x:row r="216">
      <x:c r="A216" s="54"/>
      <x:c r="B216" s="60"/>
      <x:c r="C216" s="54"/>
      <x:c r="D216" s="57" t="str">
        <x:f>IF($C216="","",IFERROR(VLOOKUP($C216,'Leads'!$A$6:$C$505,3,FALSE),"Lead ID not found"))</x:f>
      </x:c>
      <x:c r="E216" s="54"/>
      <x:c r="F216" s="54"/>
      <x:c r="G216" s="63"/>
      <x:c r="H216" s="54"/>
      <x:c r="I216" s="60"/>
      <x:c r="J216" s="54"/>
      <x:c r="K216" s="54"/>
      <x:c r="L216" s="54"/>
      <x:c r="M216" s="63"/>
    </x:row>
    <x:row r="217">
      <x:c r="A217" s="54"/>
      <x:c r="B217" s="60"/>
      <x:c r="C217" s="54"/>
      <x:c r="D217" s="57" t="str">
        <x:f>IF($C217="","",IFERROR(VLOOKUP($C217,'Leads'!$A$6:$C$505,3,FALSE),"Lead ID not found"))</x:f>
      </x:c>
      <x:c r="E217" s="54"/>
      <x:c r="F217" s="54"/>
      <x:c r="G217" s="63"/>
      <x:c r="H217" s="54"/>
      <x:c r="I217" s="60"/>
      <x:c r="J217" s="54"/>
      <x:c r="K217" s="54"/>
      <x:c r="L217" s="54"/>
      <x:c r="M217" s="63"/>
    </x:row>
    <x:row r="218">
      <x:c r="A218" s="54"/>
      <x:c r="B218" s="60"/>
      <x:c r="C218" s="54"/>
      <x:c r="D218" s="57" t="str">
        <x:f>IF($C218="","",IFERROR(VLOOKUP($C218,'Leads'!$A$6:$C$505,3,FALSE),"Lead ID not found"))</x:f>
      </x:c>
      <x:c r="E218" s="54"/>
      <x:c r="F218" s="54"/>
      <x:c r="G218" s="63"/>
      <x:c r="H218" s="54"/>
      <x:c r="I218" s="60"/>
      <x:c r="J218" s="54"/>
      <x:c r="K218" s="54"/>
      <x:c r="L218" s="54"/>
      <x:c r="M218" s="63"/>
    </x:row>
    <x:row r="219">
      <x:c r="A219" s="54"/>
      <x:c r="B219" s="60"/>
      <x:c r="C219" s="54"/>
      <x:c r="D219" s="57" t="str">
        <x:f>IF($C219="","",IFERROR(VLOOKUP($C219,'Leads'!$A$6:$C$505,3,FALSE),"Lead ID not found"))</x:f>
      </x:c>
      <x:c r="E219" s="54"/>
      <x:c r="F219" s="54"/>
      <x:c r="G219" s="63"/>
      <x:c r="H219" s="54"/>
      <x:c r="I219" s="60"/>
      <x:c r="J219" s="54"/>
      <x:c r="K219" s="54"/>
      <x:c r="L219" s="54"/>
      <x:c r="M219" s="63"/>
    </x:row>
    <x:row r="220">
      <x:c r="A220" s="54"/>
      <x:c r="B220" s="60"/>
      <x:c r="C220" s="54"/>
      <x:c r="D220" s="57" t="str">
        <x:f>IF($C220="","",IFERROR(VLOOKUP($C220,'Leads'!$A$6:$C$505,3,FALSE),"Lead ID not found"))</x:f>
      </x:c>
      <x:c r="E220" s="54"/>
      <x:c r="F220" s="54"/>
      <x:c r="G220" s="63"/>
      <x:c r="H220" s="54"/>
      <x:c r="I220" s="60"/>
      <x:c r="J220" s="54"/>
      <x:c r="K220" s="54"/>
      <x:c r="L220" s="54"/>
      <x:c r="M220" s="63"/>
    </x:row>
    <x:row r="221">
      <x:c r="A221" s="54"/>
      <x:c r="B221" s="60"/>
      <x:c r="C221" s="54"/>
      <x:c r="D221" s="57" t="str">
        <x:f>IF($C221="","",IFERROR(VLOOKUP($C221,'Leads'!$A$6:$C$505,3,FALSE),"Lead ID not found"))</x:f>
      </x:c>
      <x:c r="E221" s="54"/>
      <x:c r="F221" s="54"/>
      <x:c r="G221" s="63"/>
      <x:c r="H221" s="54"/>
      <x:c r="I221" s="60"/>
      <x:c r="J221" s="54"/>
      <x:c r="K221" s="54"/>
      <x:c r="L221" s="54"/>
      <x:c r="M221" s="63"/>
    </x:row>
    <x:row r="222">
      <x:c r="A222" s="54"/>
      <x:c r="B222" s="60"/>
      <x:c r="C222" s="54"/>
      <x:c r="D222" s="57" t="str">
        <x:f>IF($C222="","",IFERROR(VLOOKUP($C222,'Leads'!$A$6:$C$505,3,FALSE),"Lead ID not found"))</x:f>
      </x:c>
      <x:c r="E222" s="54"/>
      <x:c r="F222" s="54"/>
      <x:c r="G222" s="63"/>
      <x:c r="H222" s="54"/>
      <x:c r="I222" s="60"/>
      <x:c r="J222" s="54"/>
      <x:c r="K222" s="54"/>
      <x:c r="L222" s="54"/>
      <x:c r="M222" s="63"/>
    </x:row>
    <x:row r="223">
      <x:c r="A223" s="54"/>
      <x:c r="B223" s="60"/>
      <x:c r="C223" s="54"/>
      <x:c r="D223" s="57" t="str">
        <x:f>IF($C223="","",IFERROR(VLOOKUP($C223,'Leads'!$A$6:$C$505,3,FALSE),"Lead ID not found"))</x:f>
      </x:c>
      <x:c r="E223" s="54"/>
      <x:c r="F223" s="54"/>
      <x:c r="G223" s="63"/>
      <x:c r="H223" s="54"/>
      <x:c r="I223" s="60"/>
      <x:c r="J223" s="54"/>
      <x:c r="K223" s="54"/>
      <x:c r="L223" s="54"/>
      <x:c r="M223" s="63"/>
    </x:row>
    <x:row r="224">
      <x:c r="A224" s="54"/>
      <x:c r="B224" s="60"/>
      <x:c r="C224" s="54"/>
      <x:c r="D224" s="57" t="str">
        <x:f>IF($C224="","",IFERROR(VLOOKUP($C224,'Leads'!$A$6:$C$505,3,FALSE),"Lead ID not found"))</x:f>
      </x:c>
      <x:c r="E224" s="54"/>
      <x:c r="F224" s="54"/>
      <x:c r="G224" s="63"/>
      <x:c r="H224" s="54"/>
      <x:c r="I224" s="60"/>
      <x:c r="J224" s="54"/>
      <x:c r="K224" s="54"/>
      <x:c r="L224" s="54"/>
      <x:c r="M224" s="63"/>
    </x:row>
    <x:row r="225">
      <x:c r="A225" s="54"/>
      <x:c r="B225" s="60"/>
      <x:c r="C225" s="54"/>
      <x:c r="D225" s="57" t="str">
        <x:f>IF($C225="","",IFERROR(VLOOKUP($C225,'Leads'!$A$6:$C$505,3,FALSE),"Lead ID not found"))</x:f>
      </x:c>
      <x:c r="E225" s="54"/>
      <x:c r="F225" s="54"/>
      <x:c r="G225" s="63"/>
      <x:c r="H225" s="54"/>
      <x:c r="I225" s="60"/>
      <x:c r="J225" s="54"/>
      <x:c r="K225" s="54"/>
      <x:c r="L225" s="54"/>
      <x:c r="M225" s="63"/>
    </x:row>
    <x:row r="226">
      <x:c r="A226" s="54"/>
      <x:c r="B226" s="60"/>
      <x:c r="C226" s="54"/>
      <x:c r="D226" s="57" t="str">
        <x:f>IF($C226="","",IFERROR(VLOOKUP($C226,'Leads'!$A$6:$C$505,3,FALSE),"Lead ID not found"))</x:f>
      </x:c>
      <x:c r="E226" s="54"/>
      <x:c r="F226" s="54"/>
      <x:c r="G226" s="63"/>
      <x:c r="H226" s="54"/>
      <x:c r="I226" s="60"/>
      <x:c r="J226" s="54"/>
      <x:c r="K226" s="54"/>
      <x:c r="L226" s="54"/>
      <x:c r="M226" s="63"/>
    </x:row>
    <x:row r="227">
      <x:c r="A227" s="54"/>
      <x:c r="B227" s="60"/>
      <x:c r="C227" s="54"/>
      <x:c r="D227" s="57" t="str">
        <x:f>IF($C227="","",IFERROR(VLOOKUP($C227,'Leads'!$A$6:$C$505,3,FALSE),"Lead ID not found"))</x:f>
      </x:c>
      <x:c r="E227" s="54"/>
      <x:c r="F227" s="54"/>
      <x:c r="G227" s="63"/>
      <x:c r="H227" s="54"/>
      <x:c r="I227" s="60"/>
      <x:c r="J227" s="54"/>
      <x:c r="K227" s="54"/>
      <x:c r="L227" s="54"/>
      <x:c r="M227" s="63"/>
    </x:row>
    <x:row r="228">
      <x:c r="A228" s="54"/>
      <x:c r="B228" s="60"/>
      <x:c r="C228" s="54"/>
      <x:c r="D228" s="57" t="str">
        <x:f>IF($C228="","",IFERROR(VLOOKUP($C228,'Leads'!$A$6:$C$505,3,FALSE),"Lead ID not found"))</x:f>
      </x:c>
      <x:c r="E228" s="54"/>
      <x:c r="F228" s="54"/>
      <x:c r="G228" s="63"/>
      <x:c r="H228" s="54"/>
      <x:c r="I228" s="60"/>
      <x:c r="J228" s="54"/>
      <x:c r="K228" s="54"/>
      <x:c r="L228" s="54"/>
      <x:c r="M228" s="63"/>
    </x:row>
    <x:row r="229">
      <x:c r="A229" s="54"/>
      <x:c r="B229" s="60"/>
      <x:c r="C229" s="54"/>
      <x:c r="D229" s="57" t="str">
        <x:f>IF($C229="","",IFERROR(VLOOKUP($C229,'Leads'!$A$6:$C$505,3,FALSE),"Lead ID not found"))</x:f>
      </x:c>
      <x:c r="E229" s="54"/>
      <x:c r="F229" s="54"/>
      <x:c r="G229" s="63"/>
      <x:c r="H229" s="54"/>
      <x:c r="I229" s="60"/>
      <x:c r="J229" s="54"/>
      <x:c r="K229" s="54"/>
      <x:c r="L229" s="54"/>
      <x:c r="M229" s="63"/>
    </x:row>
    <x:row r="230">
      <x:c r="A230" s="54"/>
      <x:c r="B230" s="60"/>
      <x:c r="C230" s="54"/>
      <x:c r="D230" s="57" t="str">
        <x:f>IF($C230="","",IFERROR(VLOOKUP($C230,'Leads'!$A$6:$C$505,3,FALSE),"Lead ID not found"))</x:f>
      </x:c>
      <x:c r="E230" s="54"/>
      <x:c r="F230" s="54"/>
      <x:c r="G230" s="63"/>
      <x:c r="H230" s="54"/>
      <x:c r="I230" s="60"/>
      <x:c r="J230" s="54"/>
      <x:c r="K230" s="54"/>
      <x:c r="L230" s="54"/>
      <x:c r="M230" s="63"/>
    </x:row>
    <x:row r="231">
      <x:c r="A231" s="54"/>
      <x:c r="B231" s="60"/>
      <x:c r="C231" s="54"/>
      <x:c r="D231" s="57" t="str">
        <x:f>IF($C231="","",IFERROR(VLOOKUP($C231,'Leads'!$A$6:$C$505,3,FALSE),"Lead ID not found"))</x:f>
      </x:c>
      <x:c r="E231" s="54"/>
      <x:c r="F231" s="54"/>
      <x:c r="G231" s="63"/>
      <x:c r="H231" s="54"/>
      <x:c r="I231" s="60"/>
      <x:c r="J231" s="54"/>
      <x:c r="K231" s="54"/>
      <x:c r="L231" s="54"/>
      <x:c r="M231" s="63"/>
    </x:row>
    <x:row r="232">
      <x:c r="A232" s="54"/>
      <x:c r="B232" s="60"/>
      <x:c r="C232" s="54"/>
      <x:c r="D232" s="57" t="str">
        <x:f>IF($C232="","",IFERROR(VLOOKUP($C232,'Leads'!$A$6:$C$505,3,FALSE),"Lead ID not found"))</x:f>
      </x:c>
      <x:c r="E232" s="54"/>
      <x:c r="F232" s="54"/>
      <x:c r="G232" s="63"/>
      <x:c r="H232" s="54"/>
      <x:c r="I232" s="60"/>
      <x:c r="J232" s="54"/>
      <x:c r="K232" s="54"/>
      <x:c r="L232" s="54"/>
      <x:c r="M232" s="63"/>
    </x:row>
    <x:row r="233">
      <x:c r="A233" s="54"/>
      <x:c r="B233" s="60"/>
      <x:c r="C233" s="54"/>
      <x:c r="D233" s="57" t="str">
        <x:f>IF($C233="","",IFERROR(VLOOKUP($C233,'Leads'!$A$6:$C$505,3,FALSE),"Lead ID not found"))</x:f>
      </x:c>
      <x:c r="E233" s="54"/>
      <x:c r="F233" s="54"/>
      <x:c r="G233" s="63"/>
      <x:c r="H233" s="54"/>
      <x:c r="I233" s="60"/>
      <x:c r="J233" s="54"/>
      <x:c r="K233" s="54"/>
      <x:c r="L233" s="54"/>
      <x:c r="M233" s="63"/>
    </x:row>
    <x:row r="234">
      <x:c r="A234" s="54"/>
      <x:c r="B234" s="60"/>
      <x:c r="C234" s="54"/>
      <x:c r="D234" s="57" t="str">
        <x:f>IF($C234="","",IFERROR(VLOOKUP($C234,'Leads'!$A$6:$C$505,3,FALSE),"Lead ID not found"))</x:f>
      </x:c>
      <x:c r="E234" s="54"/>
      <x:c r="F234" s="54"/>
      <x:c r="G234" s="63"/>
      <x:c r="H234" s="54"/>
      <x:c r="I234" s="60"/>
      <x:c r="J234" s="54"/>
      <x:c r="K234" s="54"/>
      <x:c r="L234" s="54"/>
      <x:c r="M234" s="63"/>
    </x:row>
    <x:row r="235">
      <x:c r="A235" s="54"/>
      <x:c r="B235" s="60"/>
      <x:c r="C235" s="54"/>
      <x:c r="D235" s="57" t="str">
        <x:f>IF($C235="","",IFERROR(VLOOKUP($C235,'Leads'!$A$6:$C$505,3,FALSE),"Lead ID not found"))</x:f>
      </x:c>
      <x:c r="E235" s="54"/>
      <x:c r="F235" s="54"/>
      <x:c r="G235" s="63"/>
      <x:c r="H235" s="54"/>
      <x:c r="I235" s="60"/>
      <x:c r="J235" s="54"/>
      <x:c r="K235" s="54"/>
      <x:c r="L235" s="54"/>
      <x:c r="M235" s="63"/>
    </x:row>
    <x:row r="236">
      <x:c r="A236" s="54"/>
      <x:c r="B236" s="60"/>
      <x:c r="C236" s="54"/>
      <x:c r="D236" s="57" t="str">
        <x:f>IF($C236="","",IFERROR(VLOOKUP($C236,'Leads'!$A$6:$C$505,3,FALSE),"Lead ID not found"))</x:f>
      </x:c>
      <x:c r="E236" s="54"/>
      <x:c r="F236" s="54"/>
      <x:c r="G236" s="63"/>
      <x:c r="H236" s="54"/>
      <x:c r="I236" s="60"/>
      <x:c r="J236" s="54"/>
      <x:c r="K236" s="54"/>
      <x:c r="L236" s="54"/>
      <x:c r="M236" s="63"/>
    </x:row>
    <x:row r="237">
      <x:c r="A237" s="54"/>
      <x:c r="B237" s="60"/>
      <x:c r="C237" s="54"/>
      <x:c r="D237" s="57" t="str">
        <x:f>IF($C237="","",IFERROR(VLOOKUP($C237,'Leads'!$A$6:$C$505,3,FALSE),"Lead ID not found"))</x:f>
      </x:c>
      <x:c r="E237" s="54"/>
      <x:c r="F237" s="54"/>
      <x:c r="G237" s="63"/>
      <x:c r="H237" s="54"/>
      <x:c r="I237" s="60"/>
      <x:c r="J237" s="54"/>
      <x:c r="K237" s="54"/>
      <x:c r="L237" s="54"/>
      <x:c r="M237" s="63"/>
    </x:row>
    <x:row r="238">
      <x:c r="A238" s="54"/>
      <x:c r="B238" s="60"/>
      <x:c r="C238" s="54"/>
      <x:c r="D238" s="57" t="str">
        <x:f>IF($C238="","",IFERROR(VLOOKUP($C238,'Leads'!$A$6:$C$505,3,FALSE),"Lead ID not found"))</x:f>
      </x:c>
      <x:c r="E238" s="54"/>
      <x:c r="F238" s="54"/>
      <x:c r="G238" s="63"/>
      <x:c r="H238" s="54"/>
      <x:c r="I238" s="60"/>
      <x:c r="J238" s="54"/>
      <x:c r="K238" s="54"/>
      <x:c r="L238" s="54"/>
      <x:c r="M238" s="63"/>
    </x:row>
    <x:row r="239">
      <x:c r="A239" s="54"/>
      <x:c r="B239" s="60"/>
      <x:c r="C239" s="54"/>
      <x:c r="D239" s="57" t="str">
        <x:f>IF($C239="","",IFERROR(VLOOKUP($C239,'Leads'!$A$6:$C$505,3,FALSE),"Lead ID not found"))</x:f>
      </x:c>
      <x:c r="E239" s="54"/>
      <x:c r="F239" s="54"/>
      <x:c r="G239" s="63"/>
      <x:c r="H239" s="54"/>
      <x:c r="I239" s="60"/>
      <x:c r="J239" s="54"/>
      <x:c r="K239" s="54"/>
      <x:c r="L239" s="54"/>
      <x:c r="M239" s="63"/>
    </x:row>
    <x:row r="240">
      <x:c r="A240" s="54"/>
      <x:c r="B240" s="60"/>
      <x:c r="C240" s="54"/>
      <x:c r="D240" s="57" t="str">
        <x:f>IF($C240="","",IFERROR(VLOOKUP($C240,'Leads'!$A$6:$C$505,3,FALSE),"Lead ID not found"))</x:f>
      </x:c>
      <x:c r="E240" s="54"/>
      <x:c r="F240" s="54"/>
      <x:c r="G240" s="63"/>
      <x:c r="H240" s="54"/>
      <x:c r="I240" s="60"/>
      <x:c r="J240" s="54"/>
      <x:c r="K240" s="54"/>
      <x:c r="L240" s="54"/>
      <x:c r="M240" s="63"/>
    </x:row>
    <x:row r="241">
      <x:c r="A241" s="54"/>
      <x:c r="B241" s="60"/>
      <x:c r="C241" s="54"/>
      <x:c r="D241" s="57" t="str">
        <x:f>IF($C241="","",IFERROR(VLOOKUP($C241,'Leads'!$A$6:$C$505,3,FALSE),"Lead ID not found"))</x:f>
      </x:c>
      <x:c r="E241" s="54"/>
      <x:c r="F241" s="54"/>
      <x:c r="G241" s="63"/>
      <x:c r="H241" s="54"/>
      <x:c r="I241" s="60"/>
      <x:c r="J241" s="54"/>
      <x:c r="K241" s="54"/>
      <x:c r="L241" s="54"/>
      <x:c r="M241" s="63"/>
    </x:row>
    <x:row r="242">
      <x:c r="A242" s="54"/>
      <x:c r="B242" s="60"/>
      <x:c r="C242" s="54"/>
      <x:c r="D242" s="57" t="str">
        <x:f>IF($C242="","",IFERROR(VLOOKUP($C242,'Leads'!$A$6:$C$505,3,FALSE),"Lead ID not found"))</x:f>
      </x:c>
      <x:c r="E242" s="54"/>
      <x:c r="F242" s="54"/>
      <x:c r="G242" s="63"/>
      <x:c r="H242" s="54"/>
      <x:c r="I242" s="60"/>
      <x:c r="J242" s="54"/>
      <x:c r="K242" s="54"/>
      <x:c r="L242" s="54"/>
      <x:c r="M242" s="63"/>
    </x:row>
    <x:row r="243">
      <x:c r="A243" s="54"/>
      <x:c r="B243" s="60"/>
      <x:c r="C243" s="54"/>
      <x:c r="D243" s="57" t="str">
        <x:f>IF($C243="","",IFERROR(VLOOKUP($C243,'Leads'!$A$6:$C$505,3,FALSE),"Lead ID not found"))</x:f>
      </x:c>
      <x:c r="E243" s="54"/>
      <x:c r="F243" s="54"/>
      <x:c r="G243" s="63"/>
      <x:c r="H243" s="54"/>
      <x:c r="I243" s="60"/>
      <x:c r="J243" s="54"/>
      <x:c r="K243" s="54"/>
      <x:c r="L243" s="54"/>
      <x:c r="M243" s="63"/>
    </x:row>
    <x:row r="244">
      <x:c r="A244" s="54"/>
      <x:c r="B244" s="60"/>
      <x:c r="C244" s="54"/>
      <x:c r="D244" s="57" t="str">
        <x:f>IF($C244="","",IFERROR(VLOOKUP($C244,'Leads'!$A$6:$C$505,3,FALSE),"Lead ID not found"))</x:f>
      </x:c>
      <x:c r="E244" s="54"/>
      <x:c r="F244" s="54"/>
      <x:c r="G244" s="63"/>
      <x:c r="H244" s="54"/>
      <x:c r="I244" s="60"/>
      <x:c r="J244" s="54"/>
      <x:c r="K244" s="54"/>
      <x:c r="L244" s="54"/>
      <x:c r="M244" s="63"/>
    </x:row>
    <x:row r="245">
      <x:c r="A245" s="54"/>
      <x:c r="B245" s="60"/>
      <x:c r="C245" s="54"/>
      <x:c r="D245" s="57" t="str">
        <x:f>IF($C245="","",IFERROR(VLOOKUP($C245,'Leads'!$A$6:$C$505,3,FALSE),"Lead ID not found"))</x:f>
      </x:c>
      <x:c r="E245" s="54"/>
      <x:c r="F245" s="54"/>
      <x:c r="G245" s="63"/>
      <x:c r="H245" s="54"/>
      <x:c r="I245" s="60"/>
      <x:c r="J245" s="54"/>
      <x:c r="K245" s="54"/>
      <x:c r="L245" s="54"/>
      <x:c r="M245" s="63"/>
    </x:row>
    <x:row r="246">
      <x:c r="A246" s="54"/>
      <x:c r="B246" s="60"/>
      <x:c r="C246" s="54"/>
      <x:c r="D246" s="57" t="str">
        <x:f>IF($C246="","",IFERROR(VLOOKUP($C246,'Leads'!$A$6:$C$505,3,FALSE),"Lead ID not found"))</x:f>
      </x:c>
      <x:c r="E246" s="54"/>
      <x:c r="F246" s="54"/>
      <x:c r="G246" s="63"/>
      <x:c r="H246" s="54"/>
      <x:c r="I246" s="60"/>
      <x:c r="J246" s="54"/>
      <x:c r="K246" s="54"/>
      <x:c r="L246" s="54"/>
      <x:c r="M246" s="63"/>
    </x:row>
    <x:row r="247">
      <x:c r="A247" s="54"/>
      <x:c r="B247" s="60"/>
      <x:c r="C247" s="54"/>
      <x:c r="D247" s="57" t="str">
        <x:f>IF($C247="","",IFERROR(VLOOKUP($C247,'Leads'!$A$6:$C$505,3,FALSE),"Lead ID not found"))</x:f>
      </x:c>
      <x:c r="E247" s="54"/>
      <x:c r="F247" s="54"/>
      <x:c r="G247" s="63"/>
      <x:c r="H247" s="54"/>
      <x:c r="I247" s="60"/>
      <x:c r="J247" s="54"/>
      <x:c r="K247" s="54"/>
      <x:c r="L247" s="54"/>
      <x:c r="M247" s="63"/>
    </x:row>
    <x:row r="248">
      <x:c r="A248" s="54"/>
      <x:c r="B248" s="60"/>
      <x:c r="C248" s="54"/>
      <x:c r="D248" s="57" t="str">
        <x:f>IF($C248="","",IFERROR(VLOOKUP($C248,'Leads'!$A$6:$C$505,3,FALSE),"Lead ID not found"))</x:f>
      </x:c>
      <x:c r="E248" s="54"/>
      <x:c r="F248" s="54"/>
      <x:c r="G248" s="63"/>
      <x:c r="H248" s="54"/>
      <x:c r="I248" s="60"/>
      <x:c r="J248" s="54"/>
      <x:c r="K248" s="54"/>
      <x:c r="L248" s="54"/>
      <x:c r="M248" s="63"/>
    </x:row>
    <x:row r="249">
      <x:c r="A249" s="54"/>
      <x:c r="B249" s="60"/>
      <x:c r="C249" s="54"/>
      <x:c r="D249" s="57" t="str">
        <x:f>IF($C249="","",IFERROR(VLOOKUP($C249,'Leads'!$A$6:$C$505,3,FALSE),"Lead ID not found"))</x:f>
      </x:c>
      <x:c r="E249" s="54"/>
      <x:c r="F249" s="54"/>
      <x:c r="G249" s="63"/>
      <x:c r="H249" s="54"/>
      <x:c r="I249" s="60"/>
      <x:c r="J249" s="54"/>
      <x:c r="K249" s="54"/>
      <x:c r="L249" s="54"/>
      <x:c r="M249" s="63"/>
    </x:row>
    <x:row r="250">
      <x:c r="A250" s="54"/>
      <x:c r="B250" s="60"/>
      <x:c r="C250" s="54"/>
      <x:c r="D250" s="57" t="str">
        <x:f>IF($C250="","",IFERROR(VLOOKUP($C250,'Leads'!$A$6:$C$505,3,FALSE),"Lead ID not found"))</x:f>
      </x:c>
      <x:c r="E250" s="54"/>
      <x:c r="F250" s="54"/>
      <x:c r="G250" s="63"/>
      <x:c r="H250" s="54"/>
      <x:c r="I250" s="60"/>
      <x:c r="J250" s="54"/>
      <x:c r="K250" s="54"/>
      <x:c r="L250" s="54"/>
      <x:c r="M250" s="63"/>
    </x:row>
    <x:row r="251">
      <x:c r="A251" s="54"/>
      <x:c r="B251" s="60"/>
      <x:c r="C251" s="54"/>
      <x:c r="D251" s="57" t="str">
        <x:f>IF($C251="","",IFERROR(VLOOKUP($C251,'Leads'!$A$6:$C$505,3,FALSE),"Lead ID not found"))</x:f>
      </x:c>
      <x:c r="E251" s="54"/>
      <x:c r="F251" s="54"/>
      <x:c r="G251" s="63"/>
      <x:c r="H251" s="54"/>
      <x:c r="I251" s="60"/>
      <x:c r="J251" s="54"/>
      <x:c r="K251" s="54"/>
      <x:c r="L251" s="54"/>
      <x:c r="M251" s="63"/>
    </x:row>
    <x:row r="252">
      <x:c r="A252" s="54"/>
      <x:c r="B252" s="60"/>
      <x:c r="C252" s="54"/>
      <x:c r="D252" s="57" t="str">
        <x:f>IF($C252="","",IFERROR(VLOOKUP($C252,'Leads'!$A$6:$C$505,3,FALSE),"Lead ID not found"))</x:f>
      </x:c>
      <x:c r="E252" s="54"/>
      <x:c r="F252" s="54"/>
      <x:c r="G252" s="63"/>
      <x:c r="H252" s="54"/>
      <x:c r="I252" s="60"/>
      <x:c r="J252" s="54"/>
      <x:c r="K252" s="54"/>
      <x:c r="L252" s="54"/>
      <x:c r="M252" s="63"/>
    </x:row>
    <x:row r="253">
      <x:c r="A253" s="54"/>
      <x:c r="B253" s="60"/>
      <x:c r="C253" s="54"/>
      <x:c r="D253" s="57" t="str">
        <x:f>IF($C253="","",IFERROR(VLOOKUP($C253,'Leads'!$A$6:$C$505,3,FALSE),"Lead ID not found"))</x:f>
      </x:c>
      <x:c r="E253" s="54"/>
      <x:c r="F253" s="54"/>
      <x:c r="G253" s="63"/>
      <x:c r="H253" s="54"/>
      <x:c r="I253" s="60"/>
      <x:c r="J253" s="54"/>
      <x:c r="K253" s="54"/>
      <x:c r="L253" s="54"/>
      <x:c r="M253" s="63"/>
    </x:row>
    <x:row r="254">
      <x:c r="A254" s="54"/>
      <x:c r="B254" s="60"/>
      <x:c r="C254" s="54"/>
      <x:c r="D254" s="57" t="str">
        <x:f>IF($C254="","",IFERROR(VLOOKUP($C254,'Leads'!$A$6:$C$505,3,FALSE),"Lead ID not found"))</x:f>
      </x:c>
      <x:c r="E254" s="54"/>
      <x:c r="F254" s="54"/>
      <x:c r="G254" s="63"/>
      <x:c r="H254" s="54"/>
      <x:c r="I254" s="60"/>
      <x:c r="J254" s="54"/>
      <x:c r="K254" s="54"/>
      <x:c r="L254" s="54"/>
      <x:c r="M254" s="63"/>
    </x:row>
    <x:row r="255">
      <x:c r="A255" s="54"/>
      <x:c r="B255" s="60"/>
      <x:c r="C255" s="54"/>
      <x:c r="D255" s="57" t="str">
        <x:f>IF($C255="","",IFERROR(VLOOKUP($C255,'Leads'!$A$6:$C$505,3,FALSE),"Lead ID not found"))</x:f>
      </x:c>
      <x:c r="E255" s="54"/>
      <x:c r="F255" s="54"/>
      <x:c r="G255" s="63"/>
      <x:c r="H255" s="54"/>
      <x:c r="I255" s="60"/>
      <x:c r="J255" s="54"/>
      <x:c r="K255" s="54"/>
      <x:c r="L255" s="54"/>
      <x:c r="M255" s="63"/>
    </x:row>
    <x:row r="256">
      <x:c r="A256" s="54"/>
      <x:c r="B256" s="60"/>
      <x:c r="C256" s="54"/>
      <x:c r="D256" s="57" t="str">
        <x:f>IF($C256="","",IFERROR(VLOOKUP($C256,'Leads'!$A$6:$C$505,3,FALSE),"Lead ID not found"))</x:f>
      </x:c>
      <x:c r="E256" s="54"/>
      <x:c r="F256" s="54"/>
      <x:c r="G256" s="63"/>
      <x:c r="H256" s="54"/>
      <x:c r="I256" s="60"/>
      <x:c r="J256" s="54"/>
      <x:c r="K256" s="54"/>
      <x:c r="L256" s="54"/>
      <x:c r="M256" s="63"/>
    </x:row>
    <x:row r="257">
      <x:c r="A257" s="54"/>
      <x:c r="B257" s="60"/>
      <x:c r="C257" s="54"/>
      <x:c r="D257" s="57" t="str">
        <x:f>IF($C257="","",IFERROR(VLOOKUP($C257,'Leads'!$A$6:$C$505,3,FALSE),"Lead ID not found"))</x:f>
      </x:c>
      <x:c r="E257" s="54"/>
      <x:c r="F257" s="54"/>
      <x:c r="G257" s="63"/>
      <x:c r="H257" s="54"/>
      <x:c r="I257" s="60"/>
      <x:c r="J257" s="54"/>
      <x:c r="K257" s="54"/>
      <x:c r="L257" s="54"/>
      <x:c r="M257" s="63"/>
    </x:row>
    <x:row r="258">
      <x:c r="A258" s="54"/>
      <x:c r="B258" s="60"/>
      <x:c r="C258" s="54"/>
      <x:c r="D258" s="57" t="str">
        <x:f>IF($C258="","",IFERROR(VLOOKUP($C258,'Leads'!$A$6:$C$505,3,FALSE),"Lead ID not found"))</x:f>
      </x:c>
      <x:c r="E258" s="54"/>
      <x:c r="F258" s="54"/>
      <x:c r="G258" s="63"/>
      <x:c r="H258" s="54"/>
      <x:c r="I258" s="60"/>
      <x:c r="J258" s="54"/>
      <x:c r="K258" s="54"/>
      <x:c r="L258" s="54"/>
      <x:c r="M258" s="63"/>
    </x:row>
    <x:row r="259">
      <x:c r="A259" s="54"/>
      <x:c r="B259" s="60"/>
      <x:c r="C259" s="54"/>
      <x:c r="D259" s="57" t="str">
        <x:f>IF($C259="","",IFERROR(VLOOKUP($C259,'Leads'!$A$6:$C$505,3,FALSE),"Lead ID not found"))</x:f>
      </x:c>
      <x:c r="E259" s="54"/>
      <x:c r="F259" s="54"/>
      <x:c r="G259" s="63"/>
      <x:c r="H259" s="54"/>
      <x:c r="I259" s="60"/>
      <x:c r="J259" s="54"/>
      <x:c r="K259" s="54"/>
      <x:c r="L259" s="54"/>
      <x:c r="M259" s="63"/>
    </x:row>
    <x:row r="260">
      <x:c r="A260" s="54"/>
      <x:c r="B260" s="60"/>
      <x:c r="C260" s="54"/>
      <x:c r="D260" s="57" t="str">
        <x:f>IF($C260="","",IFERROR(VLOOKUP($C260,'Leads'!$A$6:$C$505,3,FALSE),"Lead ID not found"))</x:f>
      </x:c>
      <x:c r="E260" s="54"/>
      <x:c r="F260" s="54"/>
      <x:c r="G260" s="63"/>
      <x:c r="H260" s="54"/>
      <x:c r="I260" s="60"/>
      <x:c r="J260" s="54"/>
      <x:c r="K260" s="54"/>
      <x:c r="L260" s="54"/>
      <x:c r="M260" s="63"/>
    </x:row>
    <x:row r="261">
      <x:c r="A261" s="54"/>
      <x:c r="B261" s="60"/>
      <x:c r="C261" s="54"/>
      <x:c r="D261" s="57" t="str">
        <x:f>IF($C261="","",IFERROR(VLOOKUP($C261,'Leads'!$A$6:$C$505,3,FALSE),"Lead ID not found"))</x:f>
      </x:c>
      <x:c r="E261" s="54"/>
      <x:c r="F261" s="54"/>
      <x:c r="G261" s="63"/>
      <x:c r="H261" s="54"/>
      <x:c r="I261" s="60"/>
      <x:c r="J261" s="54"/>
      <x:c r="K261" s="54"/>
      <x:c r="L261" s="54"/>
      <x:c r="M261" s="63"/>
    </x:row>
    <x:row r="262">
      <x:c r="A262" s="54"/>
      <x:c r="B262" s="60"/>
      <x:c r="C262" s="54"/>
      <x:c r="D262" s="57" t="str">
        <x:f>IF($C262="","",IFERROR(VLOOKUP($C262,'Leads'!$A$6:$C$505,3,FALSE),"Lead ID not found"))</x:f>
      </x:c>
      <x:c r="E262" s="54"/>
      <x:c r="F262" s="54"/>
      <x:c r="G262" s="63"/>
      <x:c r="H262" s="54"/>
      <x:c r="I262" s="60"/>
      <x:c r="J262" s="54"/>
      <x:c r="K262" s="54"/>
      <x:c r="L262" s="54"/>
      <x:c r="M262" s="63"/>
    </x:row>
    <x:row r="263">
      <x:c r="A263" s="54"/>
      <x:c r="B263" s="60"/>
      <x:c r="C263" s="54"/>
      <x:c r="D263" s="57" t="str">
        <x:f>IF($C263="","",IFERROR(VLOOKUP($C263,'Leads'!$A$6:$C$505,3,FALSE),"Lead ID not found"))</x:f>
      </x:c>
      <x:c r="E263" s="54"/>
      <x:c r="F263" s="54"/>
      <x:c r="G263" s="63"/>
      <x:c r="H263" s="54"/>
      <x:c r="I263" s="60"/>
      <x:c r="J263" s="54"/>
      <x:c r="K263" s="54"/>
      <x:c r="L263" s="54"/>
      <x:c r="M263" s="63"/>
    </x:row>
    <x:row r="264">
      <x:c r="A264" s="54"/>
      <x:c r="B264" s="60"/>
      <x:c r="C264" s="54"/>
      <x:c r="D264" s="57" t="str">
        <x:f>IF($C264="","",IFERROR(VLOOKUP($C264,'Leads'!$A$6:$C$505,3,FALSE),"Lead ID not found"))</x:f>
      </x:c>
      <x:c r="E264" s="54"/>
      <x:c r="F264" s="54"/>
      <x:c r="G264" s="63"/>
      <x:c r="H264" s="54"/>
      <x:c r="I264" s="60"/>
      <x:c r="J264" s="54"/>
      <x:c r="K264" s="54"/>
      <x:c r="L264" s="54"/>
      <x:c r="M264" s="63"/>
    </x:row>
    <x:row r="265">
      <x:c r="A265" s="54"/>
      <x:c r="B265" s="60"/>
      <x:c r="C265" s="54"/>
      <x:c r="D265" s="57" t="str">
        <x:f>IF($C265="","",IFERROR(VLOOKUP($C265,'Leads'!$A$6:$C$505,3,FALSE),"Lead ID not found"))</x:f>
      </x:c>
      <x:c r="E265" s="54"/>
      <x:c r="F265" s="54"/>
      <x:c r="G265" s="63"/>
      <x:c r="H265" s="54"/>
      <x:c r="I265" s="60"/>
      <x:c r="J265" s="54"/>
      <x:c r="K265" s="54"/>
      <x:c r="L265" s="54"/>
      <x:c r="M265" s="63"/>
    </x:row>
    <x:row r="266">
      <x:c r="A266" s="54"/>
      <x:c r="B266" s="60"/>
      <x:c r="C266" s="54"/>
      <x:c r="D266" s="57" t="str">
        <x:f>IF($C266="","",IFERROR(VLOOKUP($C266,'Leads'!$A$6:$C$505,3,FALSE),"Lead ID not found"))</x:f>
      </x:c>
      <x:c r="E266" s="54"/>
      <x:c r="F266" s="54"/>
      <x:c r="G266" s="63"/>
      <x:c r="H266" s="54"/>
      <x:c r="I266" s="60"/>
      <x:c r="J266" s="54"/>
      <x:c r="K266" s="54"/>
      <x:c r="L266" s="54"/>
      <x:c r="M266" s="63"/>
    </x:row>
    <x:row r="267">
      <x:c r="A267" s="54"/>
      <x:c r="B267" s="60"/>
      <x:c r="C267" s="54"/>
      <x:c r="D267" s="57" t="str">
        <x:f>IF($C267="","",IFERROR(VLOOKUP($C267,'Leads'!$A$6:$C$505,3,FALSE),"Lead ID not found"))</x:f>
      </x:c>
      <x:c r="E267" s="54"/>
      <x:c r="F267" s="54"/>
      <x:c r="G267" s="63"/>
      <x:c r="H267" s="54"/>
      <x:c r="I267" s="60"/>
      <x:c r="J267" s="54"/>
      <x:c r="K267" s="54"/>
      <x:c r="L267" s="54"/>
      <x:c r="M267" s="63"/>
    </x:row>
    <x:row r="268">
      <x:c r="A268" s="54"/>
      <x:c r="B268" s="60"/>
      <x:c r="C268" s="54"/>
      <x:c r="D268" s="57" t="str">
        <x:f>IF($C268="","",IFERROR(VLOOKUP($C268,'Leads'!$A$6:$C$505,3,FALSE),"Lead ID not found"))</x:f>
      </x:c>
      <x:c r="E268" s="54"/>
      <x:c r="F268" s="54"/>
      <x:c r="G268" s="63"/>
      <x:c r="H268" s="54"/>
      <x:c r="I268" s="60"/>
      <x:c r="J268" s="54"/>
      <x:c r="K268" s="54"/>
      <x:c r="L268" s="54"/>
      <x:c r="M268" s="63"/>
    </x:row>
    <x:row r="269">
      <x:c r="A269" s="54"/>
      <x:c r="B269" s="60"/>
      <x:c r="C269" s="54"/>
      <x:c r="D269" s="57" t="str">
        <x:f>IF($C269="","",IFERROR(VLOOKUP($C269,'Leads'!$A$6:$C$505,3,FALSE),"Lead ID not found"))</x:f>
      </x:c>
      <x:c r="E269" s="54"/>
      <x:c r="F269" s="54"/>
      <x:c r="G269" s="63"/>
      <x:c r="H269" s="54"/>
      <x:c r="I269" s="60"/>
      <x:c r="J269" s="54"/>
      <x:c r="K269" s="54"/>
      <x:c r="L269" s="54"/>
      <x:c r="M269" s="63"/>
    </x:row>
    <x:row r="270">
      <x:c r="A270" s="54"/>
      <x:c r="B270" s="60"/>
      <x:c r="C270" s="54"/>
      <x:c r="D270" s="57" t="str">
        <x:f>IF($C270="","",IFERROR(VLOOKUP($C270,'Leads'!$A$6:$C$505,3,FALSE),"Lead ID not found"))</x:f>
      </x:c>
      <x:c r="E270" s="54"/>
      <x:c r="F270" s="54"/>
      <x:c r="G270" s="63"/>
      <x:c r="H270" s="54"/>
      <x:c r="I270" s="60"/>
      <x:c r="J270" s="54"/>
      <x:c r="K270" s="54"/>
      <x:c r="L270" s="54"/>
      <x:c r="M270" s="63"/>
    </x:row>
    <x:row r="271">
      <x:c r="A271" s="54"/>
      <x:c r="B271" s="60"/>
      <x:c r="C271" s="54"/>
      <x:c r="D271" s="57" t="str">
        <x:f>IF($C271="","",IFERROR(VLOOKUP($C271,'Leads'!$A$6:$C$505,3,FALSE),"Lead ID not found"))</x:f>
      </x:c>
      <x:c r="E271" s="54"/>
      <x:c r="F271" s="54"/>
      <x:c r="G271" s="63"/>
      <x:c r="H271" s="54"/>
      <x:c r="I271" s="60"/>
      <x:c r="J271" s="54"/>
      <x:c r="K271" s="54"/>
      <x:c r="L271" s="54"/>
      <x:c r="M271" s="63"/>
    </x:row>
    <x:row r="272">
      <x:c r="A272" s="54"/>
      <x:c r="B272" s="60"/>
      <x:c r="C272" s="54"/>
      <x:c r="D272" s="57" t="str">
        <x:f>IF($C272="","",IFERROR(VLOOKUP($C272,'Leads'!$A$6:$C$505,3,FALSE),"Lead ID not found"))</x:f>
      </x:c>
      <x:c r="E272" s="54"/>
      <x:c r="F272" s="54"/>
      <x:c r="G272" s="63"/>
      <x:c r="H272" s="54"/>
      <x:c r="I272" s="60"/>
      <x:c r="J272" s="54"/>
      <x:c r="K272" s="54"/>
      <x:c r="L272" s="54"/>
      <x:c r="M272" s="63"/>
    </x:row>
    <x:row r="273">
      <x:c r="A273" s="54"/>
      <x:c r="B273" s="60"/>
      <x:c r="C273" s="54"/>
      <x:c r="D273" s="57" t="str">
        <x:f>IF($C273="","",IFERROR(VLOOKUP($C273,'Leads'!$A$6:$C$505,3,FALSE),"Lead ID not found"))</x:f>
      </x:c>
      <x:c r="E273" s="54"/>
      <x:c r="F273" s="54"/>
      <x:c r="G273" s="63"/>
      <x:c r="H273" s="54"/>
      <x:c r="I273" s="60"/>
      <x:c r="J273" s="54"/>
      <x:c r="K273" s="54"/>
      <x:c r="L273" s="54"/>
      <x:c r="M273" s="63"/>
    </x:row>
    <x:row r="274">
      <x:c r="A274" s="54"/>
      <x:c r="B274" s="60"/>
      <x:c r="C274" s="54"/>
      <x:c r="D274" s="57" t="str">
        <x:f>IF($C274="","",IFERROR(VLOOKUP($C274,'Leads'!$A$6:$C$505,3,FALSE),"Lead ID not found"))</x:f>
      </x:c>
      <x:c r="E274" s="54"/>
      <x:c r="F274" s="54"/>
      <x:c r="G274" s="63"/>
      <x:c r="H274" s="54"/>
      <x:c r="I274" s="60"/>
      <x:c r="J274" s="54"/>
      <x:c r="K274" s="54"/>
      <x:c r="L274" s="54"/>
      <x:c r="M274" s="63"/>
    </x:row>
    <x:row r="275">
      <x:c r="A275" s="54"/>
      <x:c r="B275" s="60"/>
      <x:c r="C275" s="54"/>
      <x:c r="D275" s="57" t="str">
        <x:f>IF($C275="","",IFERROR(VLOOKUP($C275,'Leads'!$A$6:$C$505,3,FALSE),"Lead ID not found"))</x:f>
      </x:c>
      <x:c r="E275" s="54"/>
      <x:c r="F275" s="54"/>
      <x:c r="G275" s="63"/>
      <x:c r="H275" s="54"/>
      <x:c r="I275" s="60"/>
      <x:c r="J275" s="54"/>
      <x:c r="K275" s="54"/>
      <x:c r="L275" s="54"/>
      <x:c r="M275" s="63"/>
    </x:row>
    <x:row r="276">
      <x:c r="A276" s="54"/>
      <x:c r="B276" s="60"/>
      <x:c r="C276" s="54"/>
      <x:c r="D276" s="57" t="str">
        <x:f>IF($C276="","",IFERROR(VLOOKUP($C276,'Leads'!$A$6:$C$505,3,FALSE),"Lead ID not found"))</x:f>
      </x:c>
      <x:c r="E276" s="54"/>
      <x:c r="F276" s="54"/>
      <x:c r="G276" s="63"/>
      <x:c r="H276" s="54"/>
      <x:c r="I276" s="60"/>
      <x:c r="J276" s="54"/>
      <x:c r="K276" s="54"/>
      <x:c r="L276" s="54"/>
      <x:c r="M276" s="63"/>
    </x:row>
    <x:row r="277">
      <x:c r="A277" s="54"/>
      <x:c r="B277" s="60"/>
      <x:c r="C277" s="54"/>
      <x:c r="D277" s="57" t="str">
        <x:f>IF($C277="","",IFERROR(VLOOKUP($C277,'Leads'!$A$6:$C$505,3,FALSE),"Lead ID not found"))</x:f>
      </x:c>
      <x:c r="E277" s="54"/>
      <x:c r="F277" s="54"/>
      <x:c r="G277" s="63"/>
      <x:c r="H277" s="54"/>
      <x:c r="I277" s="60"/>
      <x:c r="J277" s="54"/>
      <x:c r="K277" s="54"/>
      <x:c r="L277" s="54"/>
      <x:c r="M277" s="63"/>
    </x:row>
    <x:row r="278">
      <x:c r="A278" s="54"/>
      <x:c r="B278" s="60"/>
      <x:c r="C278" s="54"/>
      <x:c r="D278" s="57" t="str">
        <x:f>IF($C278="","",IFERROR(VLOOKUP($C278,'Leads'!$A$6:$C$505,3,FALSE),"Lead ID not found"))</x:f>
      </x:c>
      <x:c r="E278" s="54"/>
      <x:c r="F278" s="54"/>
      <x:c r="G278" s="63"/>
      <x:c r="H278" s="54"/>
      <x:c r="I278" s="60"/>
      <x:c r="J278" s="54"/>
      <x:c r="K278" s="54"/>
      <x:c r="L278" s="54"/>
      <x:c r="M278" s="63"/>
    </x:row>
    <x:row r="279">
      <x:c r="A279" s="54"/>
      <x:c r="B279" s="60"/>
      <x:c r="C279" s="54"/>
      <x:c r="D279" s="57" t="str">
        <x:f>IF($C279="","",IFERROR(VLOOKUP($C279,'Leads'!$A$6:$C$505,3,FALSE),"Lead ID not found"))</x:f>
      </x:c>
      <x:c r="E279" s="54"/>
      <x:c r="F279" s="54"/>
      <x:c r="G279" s="63"/>
      <x:c r="H279" s="54"/>
      <x:c r="I279" s="60"/>
      <x:c r="J279" s="54"/>
      <x:c r="K279" s="54"/>
      <x:c r="L279" s="54"/>
      <x:c r="M279" s="63"/>
    </x:row>
    <x:row r="280">
      <x:c r="A280" s="54"/>
      <x:c r="B280" s="60"/>
      <x:c r="C280" s="54"/>
      <x:c r="D280" s="57" t="str">
        <x:f>IF($C280="","",IFERROR(VLOOKUP($C280,'Leads'!$A$6:$C$505,3,FALSE),"Lead ID not found"))</x:f>
      </x:c>
      <x:c r="E280" s="54"/>
      <x:c r="F280" s="54"/>
      <x:c r="G280" s="63"/>
      <x:c r="H280" s="54"/>
      <x:c r="I280" s="60"/>
      <x:c r="J280" s="54"/>
      <x:c r="K280" s="54"/>
      <x:c r="L280" s="54"/>
      <x:c r="M280" s="63"/>
    </x:row>
    <x:row r="281">
      <x:c r="A281" s="54"/>
      <x:c r="B281" s="60"/>
      <x:c r="C281" s="54"/>
      <x:c r="D281" s="57" t="str">
        <x:f>IF($C281="","",IFERROR(VLOOKUP($C281,'Leads'!$A$6:$C$505,3,FALSE),"Lead ID not found"))</x:f>
      </x:c>
      <x:c r="E281" s="54"/>
      <x:c r="F281" s="54"/>
      <x:c r="G281" s="63"/>
      <x:c r="H281" s="54"/>
      <x:c r="I281" s="60"/>
      <x:c r="J281" s="54"/>
      <x:c r="K281" s="54"/>
      <x:c r="L281" s="54"/>
      <x:c r="M281" s="63"/>
    </x:row>
    <x:row r="282">
      <x:c r="A282" s="54"/>
      <x:c r="B282" s="60"/>
      <x:c r="C282" s="54"/>
      <x:c r="D282" s="57" t="str">
        <x:f>IF($C282="","",IFERROR(VLOOKUP($C282,'Leads'!$A$6:$C$505,3,FALSE),"Lead ID not found"))</x:f>
      </x:c>
      <x:c r="E282" s="54"/>
      <x:c r="F282" s="54"/>
      <x:c r="G282" s="63"/>
      <x:c r="H282" s="54"/>
      <x:c r="I282" s="60"/>
      <x:c r="J282" s="54"/>
      <x:c r="K282" s="54"/>
      <x:c r="L282" s="54"/>
      <x:c r="M282" s="63"/>
    </x:row>
    <x:row r="283">
      <x:c r="A283" s="54"/>
      <x:c r="B283" s="60"/>
      <x:c r="C283" s="54"/>
      <x:c r="D283" s="57" t="str">
        <x:f>IF($C283="","",IFERROR(VLOOKUP($C283,'Leads'!$A$6:$C$505,3,FALSE),"Lead ID not found"))</x:f>
      </x:c>
      <x:c r="E283" s="54"/>
      <x:c r="F283" s="54"/>
      <x:c r="G283" s="63"/>
      <x:c r="H283" s="54"/>
      <x:c r="I283" s="60"/>
      <x:c r="J283" s="54"/>
      <x:c r="K283" s="54"/>
      <x:c r="L283" s="54"/>
      <x:c r="M283" s="63"/>
    </x:row>
    <x:row r="284">
      <x:c r="A284" s="54"/>
      <x:c r="B284" s="60"/>
      <x:c r="C284" s="54"/>
      <x:c r="D284" s="57" t="str">
        <x:f>IF($C284="","",IFERROR(VLOOKUP($C284,'Leads'!$A$6:$C$505,3,FALSE),"Lead ID not found"))</x:f>
      </x:c>
      <x:c r="E284" s="54"/>
      <x:c r="F284" s="54"/>
      <x:c r="G284" s="63"/>
      <x:c r="H284" s="54"/>
      <x:c r="I284" s="60"/>
      <x:c r="J284" s="54"/>
      <x:c r="K284" s="54"/>
      <x:c r="L284" s="54"/>
      <x:c r="M284" s="63"/>
    </x:row>
    <x:row r="285">
      <x:c r="A285" s="54"/>
      <x:c r="B285" s="60"/>
      <x:c r="C285" s="54"/>
      <x:c r="D285" s="57" t="str">
        <x:f>IF($C285="","",IFERROR(VLOOKUP($C285,'Leads'!$A$6:$C$505,3,FALSE),"Lead ID not found"))</x:f>
      </x:c>
      <x:c r="E285" s="54"/>
      <x:c r="F285" s="54"/>
      <x:c r="G285" s="63"/>
      <x:c r="H285" s="54"/>
      <x:c r="I285" s="60"/>
      <x:c r="J285" s="54"/>
      <x:c r="K285" s="54"/>
      <x:c r="L285" s="54"/>
      <x:c r="M285" s="63"/>
    </x:row>
    <x:row r="286">
      <x:c r="A286" s="54"/>
      <x:c r="B286" s="60"/>
      <x:c r="C286" s="54"/>
      <x:c r="D286" s="57" t="str">
        <x:f>IF($C286="","",IFERROR(VLOOKUP($C286,'Leads'!$A$6:$C$505,3,FALSE),"Lead ID not found"))</x:f>
      </x:c>
      <x:c r="E286" s="54"/>
      <x:c r="F286" s="54"/>
      <x:c r="G286" s="63"/>
      <x:c r="H286" s="54"/>
      <x:c r="I286" s="60"/>
      <x:c r="J286" s="54"/>
      <x:c r="K286" s="54"/>
      <x:c r="L286" s="54"/>
      <x:c r="M286" s="63"/>
    </x:row>
    <x:row r="287">
      <x:c r="A287" s="54"/>
      <x:c r="B287" s="60"/>
      <x:c r="C287" s="54"/>
      <x:c r="D287" s="57" t="str">
        <x:f>IF($C287="","",IFERROR(VLOOKUP($C287,'Leads'!$A$6:$C$505,3,FALSE),"Lead ID not found"))</x:f>
      </x:c>
      <x:c r="E287" s="54"/>
      <x:c r="F287" s="54"/>
      <x:c r="G287" s="63"/>
      <x:c r="H287" s="54"/>
      <x:c r="I287" s="60"/>
      <x:c r="J287" s="54"/>
      <x:c r="K287" s="54"/>
      <x:c r="L287" s="54"/>
      <x:c r="M287" s="63"/>
    </x:row>
    <x:row r="288">
      <x:c r="A288" s="54"/>
      <x:c r="B288" s="60"/>
      <x:c r="C288" s="54"/>
      <x:c r="D288" s="57" t="str">
        <x:f>IF($C288="","",IFERROR(VLOOKUP($C288,'Leads'!$A$6:$C$505,3,FALSE),"Lead ID not found"))</x:f>
      </x:c>
      <x:c r="E288" s="54"/>
      <x:c r="F288" s="54"/>
      <x:c r="G288" s="63"/>
      <x:c r="H288" s="54"/>
      <x:c r="I288" s="60"/>
      <x:c r="J288" s="54"/>
      <x:c r="K288" s="54"/>
      <x:c r="L288" s="54"/>
      <x:c r="M288" s="63"/>
    </x:row>
    <x:row r="289">
      <x:c r="A289" s="54"/>
      <x:c r="B289" s="60"/>
      <x:c r="C289" s="54"/>
      <x:c r="D289" s="57" t="str">
        <x:f>IF($C289="","",IFERROR(VLOOKUP($C289,'Leads'!$A$6:$C$505,3,FALSE),"Lead ID not found"))</x:f>
      </x:c>
      <x:c r="E289" s="54"/>
      <x:c r="F289" s="54"/>
      <x:c r="G289" s="63"/>
      <x:c r="H289" s="54"/>
      <x:c r="I289" s="60"/>
      <x:c r="J289" s="54"/>
      <x:c r="K289" s="54"/>
      <x:c r="L289" s="54"/>
      <x:c r="M289" s="63"/>
    </x:row>
    <x:row r="290">
      <x:c r="A290" s="54"/>
      <x:c r="B290" s="60"/>
      <x:c r="C290" s="54"/>
      <x:c r="D290" s="57" t="str">
        <x:f>IF($C290="","",IFERROR(VLOOKUP($C290,'Leads'!$A$6:$C$505,3,FALSE),"Lead ID not found"))</x:f>
      </x:c>
      <x:c r="E290" s="54"/>
      <x:c r="F290" s="54"/>
      <x:c r="G290" s="63"/>
      <x:c r="H290" s="54"/>
      <x:c r="I290" s="60"/>
      <x:c r="J290" s="54"/>
      <x:c r="K290" s="54"/>
      <x:c r="L290" s="54"/>
      <x:c r="M290" s="63"/>
    </x:row>
    <x:row r="291">
      <x:c r="A291" s="54"/>
      <x:c r="B291" s="60"/>
      <x:c r="C291" s="54"/>
      <x:c r="D291" s="57" t="str">
        <x:f>IF($C291="","",IFERROR(VLOOKUP($C291,'Leads'!$A$6:$C$505,3,FALSE),"Lead ID not found"))</x:f>
      </x:c>
      <x:c r="E291" s="54"/>
      <x:c r="F291" s="54"/>
      <x:c r="G291" s="63"/>
      <x:c r="H291" s="54"/>
      <x:c r="I291" s="60"/>
      <x:c r="J291" s="54"/>
      <x:c r="K291" s="54"/>
      <x:c r="L291" s="54"/>
      <x:c r="M291" s="63"/>
    </x:row>
    <x:row r="292">
      <x:c r="A292" s="54"/>
      <x:c r="B292" s="60"/>
      <x:c r="C292" s="54"/>
      <x:c r="D292" s="57" t="str">
        <x:f>IF($C292="","",IFERROR(VLOOKUP($C292,'Leads'!$A$6:$C$505,3,FALSE),"Lead ID not found"))</x:f>
      </x:c>
      <x:c r="E292" s="54"/>
      <x:c r="F292" s="54"/>
      <x:c r="G292" s="63"/>
      <x:c r="H292" s="54"/>
      <x:c r="I292" s="60"/>
      <x:c r="J292" s="54"/>
      <x:c r="K292" s="54"/>
      <x:c r="L292" s="54"/>
      <x:c r="M292" s="63"/>
    </x:row>
    <x:row r="293">
      <x:c r="A293" s="54"/>
      <x:c r="B293" s="60"/>
      <x:c r="C293" s="54"/>
      <x:c r="D293" s="57" t="str">
        <x:f>IF($C293="","",IFERROR(VLOOKUP($C293,'Leads'!$A$6:$C$505,3,FALSE),"Lead ID not found"))</x:f>
      </x:c>
      <x:c r="E293" s="54"/>
      <x:c r="F293" s="54"/>
      <x:c r="G293" s="63"/>
      <x:c r="H293" s="54"/>
      <x:c r="I293" s="60"/>
      <x:c r="J293" s="54"/>
      <x:c r="K293" s="54"/>
      <x:c r="L293" s="54"/>
      <x:c r="M293" s="63"/>
    </x:row>
    <x:row r="294">
      <x:c r="A294" s="54"/>
      <x:c r="B294" s="60"/>
      <x:c r="C294" s="54"/>
      <x:c r="D294" s="57" t="str">
        <x:f>IF($C294="","",IFERROR(VLOOKUP($C294,'Leads'!$A$6:$C$505,3,FALSE),"Lead ID not found"))</x:f>
      </x:c>
      <x:c r="E294" s="54"/>
      <x:c r="F294" s="54"/>
      <x:c r="G294" s="63"/>
      <x:c r="H294" s="54"/>
      <x:c r="I294" s="60"/>
      <x:c r="J294" s="54"/>
      <x:c r="K294" s="54"/>
      <x:c r="L294" s="54"/>
      <x:c r="M294" s="63"/>
    </x:row>
    <x:row r="295">
      <x:c r="A295" s="54"/>
      <x:c r="B295" s="60"/>
      <x:c r="C295" s="54"/>
      <x:c r="D295" s="57" t="str">
        <x:f>IF($C295="","",IFERROR(VLOOKUP($C295,'Leads'!$A$6:$C$505,3,FALSE),"Lead ID not found"))</x:f>
      </x:c>
      <x:c r="E295" s="54"/>
      <x:c r="F295" s="54"/>
      <x:c r="G295" s="63"/>
      <x:c r="H295" s="54"/>
      <x:c r="I295" s="60"/>
      <x:c r="J295" s="54"/>
      <x:c r="K295" s="54"/>
      <x:c r="L295" s="54"/>
      <x:c r="M295" s="63"/>
    </x:row>
    <x:row r="296">
      <x:c r="A296" s="54"/>
      <x:c r="B296" s="60"/>
      <x:c r="C296" s="54"/>
      <x:c r="D296" s="57" t="str">
        <x:f>IF($C296="","",IFERROR(VLOOKUP($C296,'Leads'!$A$6:$C$505,3,FALSE),"Lead ID not found"))</x:f>
      </x:c>
      <x:c r="E296" s="54"/>
      <x:c r="F296" s="54"/>
      <x:c r="G296" s="63"/>
      <x:c r="H296" s="54"/>
      <x:c r="I296" s="60"/>
      <x:c r="J296" s="54"/>
      <x:c r="K296" s="54"/>
      <x:c r="L296" s="54"/>
      <x:c r="M296" s="63"/>
    </x:row>
    <x:row r="297">
      <x:c r="A297" s="54"/>
      <x:c r="B297" s="60"/>
      <x:c r="C297" s="54"/>
      <x:c r="D297" s="57" t="str">
        <x:f>IF($C297="","",IFERROR(VLOOKUP($C297,'Leads'!$A$6:$C$505,3,FALSE),"Lead ID not found"))</x:f>
      </x:c>
      <x:c r="E297" s="54"/>
      <x:c r="F297" s="54"/>
      <x:c r="G297" s="63"/>
      <x:c r="H297" s="54"/>
      <x:c r="I297" s="60"/>
      <x:c r="J297" s="54"/>
      <x:c r="K297" s="54"/>
      <x:c r="L297" s="54"/>
      <x:c r="M297" s="63"/>
    </x:row>
    <x:row r="298">
      <x:c r="A298" s="54"/>
      <x:c r="B298" s="60"/>
      <x:c r="C298" s="54"/>
      <x:c r="D298" s="57" t="str">
        <x:f>IF($C298="","",IFERROR(VLOOKUP($C298,'Leads'!$A$6:$C$505,3,FALSE),"Lead ID not found"))</x:f>
      </x:c>
      <x:c r="E298" s="54"/>
      <x:c r="F298" s="54"/>
      <x:c r="G298" s="63"/>
      <x:c r="H298" s="54"/>
      <x:c r="I298" s="60"/>
      <x:c r="J298" s="54"/>
      <x:c r="K298" s="54"/>
      <x:c r="L298" s="54"/>
      <x:c r="M298" s="63"/>
    </x:row>
    <x:row r="299">
      <x:c r="A299" s="54"/>
      <x:c r="B299" s="60"/>
      <x:c r="C299" s="54"/>
      <x:c r="D299" s="57" t="str">
        <x:f>IF($C299="","",IFERROR(VLOOKUP($C299,'Leads'!$A$6:$C$505,3,FALSE),"Lead ID not found"))</x:f>
      </x:c>
      <x:c r="E299" s="54"/>
      <x:c r="F299" s="54"/>
      <x:c r="G299" s="63"/>
      <x:c r="H299" s="54"/>
      <x:c r="I299" s="60"/>
      <x:c r="J299" s="54"/>
      <x:c r="K299" s="54"/>
      <x:c r="L299" s="54"/>
      <x:c r="M299" s="63"/>
    </x:row>
    <x:row r="300">
      <x:c r="A300" s="54"/>
      <x:c r="B300" s="60"/>
      <x:c r="C300" s="54"/>
      <x:c r="D300" s="57" t="str">
        <x:f>IF($C300="","",IFERROR(VLOOKUP($C300,'Leads'!$A$6:$C$505,3,FALSE),"Lead ID not found"))</x:f>
      </x:c>
      <x:c r="E300" s="54"/>
      <x:c r="F300" s="54"/>
      <x:c r="G300" s="63"/>
      <x:c r="H300" s="54"/>
      <x:c r="I300" s="60"/>
      <x:c r="J300" s="54"/>
      <x:c r="K300" s="54"/>
      <x:c r="L300" s="54"/>
      <x:c r="M300" s="63"/>
    </x:row>
    <x:row r="301">
      <x:c r="A301" s="54"/>
      <x:c r="B301" s="60"/>
      <x:c r="C301" s="54"/>
      <x:c r="D301" s="57" t="str">
        <x:f>IF($C301="","",IFERROR(VLOOKUP($C301,'Leads'!$A$6:$C$505,3,FALSE),"Lead ID not found"))</x:f>
      </x:c>
      <x:c r="E301" s="54"/>
      <x:c r="F301" s="54"/>
      <x:c r="G301" s="63"/>
      <x:c r="H301" s="54"/>
      <x:c r="I301" s="60"/>
      <x:c r="J301" s="54"/>
      <x:c r="K301" s="54"/>
      <x:c r="L301" s="54"/>
      <x:c r="M301" s="63"/>
    </x:row>
    <x:row r="302">
      <x:c r="A302" s="54"/>
      <x:c r="B302" s="60"/>
      <x:c r="C302" s="54"/>
      <x:c r="D302" s="57" t="str">
        <x:f>IF($C302="","",IFERROR(VLOOKUP($C302,'Leads'!$A$6:$C$505,3,FALSE),"Lead ID not found"))</x:f>
      </x:c>
      <x:c r="E302" s="54"/>
      <x:c r="F302" s="54"/>
      <x:c r="G302" s="63"/>
      <x:c r="H302" s="54"/>
      <x:c r="I302" s="60"/>
      <x:c r="J302" s="54"/>
      <x:c r="K302" s="54"/>
      <x:c r="L302" s="54"/>
      <x:c r="M302" s="63"/>
    </x:row>
    <x:row r="303">
      <x:c r="A303" s="54"/>
      <x:c r="B303" s="60"/>
      <x:c r="C303" s="54"/>
      <x:c r="D303" s="57" t="str">
        <x:f>IF($C303="","",IFERROR(VLOOKUP($C303,'Leads'!$A$6:$C$505,3,FALSE),"Lead ID not found"))</x:f>
      </x:c>
      <x:c r="E303" s="54"/>
      <x:c r="F303" s="54"/>
      <x:c r="G303" s="63"/>
      <x:c r="H303" s="54"/>
      <x:c r="I303" s="60"/>
      <x:c r="J303" s="54"/>
      <x:c r="K303" s="54"/>
      <x:c r="L303" s="54"/>
      <x:c r="M303" s="63"/>
    </x:row>
    <x:row r="304">
      <x:c r="A304" s="54"/>
      <x:c r="B304" s="60"/>
      <x:c r="C304" s="54"/>
      <x:c r="D304" s="57" t="str">
        <x:f>IF($C304="","",IFERROR(VLOOKUP($C304,'Leads'!$A$6:$C$505,3,FALSE),"Lead ID not found"))</x:f>
      </x:c>
      <x:c r="E304" s="54"/>
      <x:c r="F304" s="54"/>
      <x:c r="G304" s="63"/>
      <x:c r="H304" s="54"/>
      <x:c r="I304" s="60"/>
      <x:c r="J304" s="54"/>
      <x:c r="K304" s="54"/>
      <x:c r="L304" s="54"/>
      <x:c r="M304" s="63"/>
    </x:row>
    <x:row r="305">
      <x:c r="A305" s="54"/>
      <x:c r="B305" s="60"/>
      <x:c r="C305" s="54"/>
      <x:c r="D305" s="57" t="str">
        <x:f>IF($C305="","",IFERROR(VLOOKUP($C305,'Leads'!$A$6:$C$505,3,FALSE),"Lead ID not found"))</x:f>
      </x:c>
      <x:c r="E305" s="54"/>
      <x:c r="F305" s="54"/>
      <x:c r="G305" s="63"/>
      <x:c r="H305" s="54"/>
      <x:c r="I305" s="60"/>
      <x:c r="J305" s="54"/>
      <x:c r="K305" s="54"/>
      <x:c r="L305" s="54"/>
      <x:c r="M305" s="63"/>
    </x:row>
    <x:row r="306">
      <x:c r="A306" s="54"/>
      <x:c r="B306" s="60"/>
      <x:c r="C306" s="54"/>
      <x:c r="D306" s="57" t="str">
        <x:f>IF($C306="","",IFERROR(VLOOKUP($C306,'Leads'!$A$6:$C$505,3,FALSE),"Lead ID not found"))</x:f>
      </x:c>
      <x:c r="E306" s="54"/>
      <x:c r="F306" s="54"/>
      <x:c r="G306" s="63"/>
      <x:c r="H306" s="54"/>
      <x:c r="I306" s="60"/>
      <x:c r="J306" s="54"/>
      <x:c r="K306" s="54"/>
      <x:c r="L306" s="54"/>
      <x:c r="M306" s="63"/>
    </x:row>
    <x:row r="307">
      <x:c r="A307" s="54"/>
      <x:c r="B307" s="60"/>
      <x:c r="C307" s="54"/>
      <x:c r="D307" s="57" t="str">
        <x:f>IF($C307="","",IFERROR(VLOOKUP($C307,'Leads'!$A$6:$C$505,3,FALSE),"Lead ID not found"))</x:f>
      </x:c>
      <x:c r="E307" s="54"/>
      <x:c r="F307" s="54"/>
      <x:c r="G307" s="63"/>
      <x:c r="H307" s="54"/>
      <x:c r="I307" s="60"/>
      <x:c r="J307" s="54"/>
      <x:c r="K307" s="54"/>
      <x:c r="L307" s="54"/>
      <x:c r="M307" s="63"/>
    </x:row>
    <x:row r="308">
      <x:c r="A308" s="54"/>
      <x:c r="B308" s="60"/>
      <x:c r="C308" s="54"/>
      <x:c r="D308" s="57" t="str">
        <x:f>IF($C308="","",IFERROR(VLOOKUP($C308,'Leads'!$A$6:$C$505,3,FALSE),"Lead ID not found"))</x:f>
      </x:c>
      <x:c r="E308" s="54"/>
      <x:c r="F308" s="54"/>
      <x:c r="G308" s="63"/>
      <x:c r="H308" s="54"/>
      <x:c r="I308" s="60"/>
      <x:c r="J308" s="54"/>
      <x:c r="K308" s="54"/>
      <x:c r="L308" s="54"/>
      <x:c r="M308" s="63"/>
    </x:row>
    <x:row r="309">
      <x:c r="A309" s="54"/>
      <x:c r="B309" s="60"/>
      <x:c r="C309" s="54"/>
      <x:c r="D309" s="57" t="str">
        <x:f>IF($C309="","",IFERROR(VLOOKUP($C309,'Leads'!$A$6:$C$505,3,FALSE),"Lead ID not found"))</x:f>
      </x:c>
      <x:c r="E309" s="54"/>
      <x:c r="F309" s="54"/>
      <x:c r="G309" s="63"/>
      <x:c r="H309" s="54"/>
      <x:c r="I309" s="60"/>
      <x:c r="J309" s="54"/>
      <x:c r="K309" s="54"/>
      <x:c r="L309" s="54"/>
      <x:c r="M309" s="63"/>
    </x:row>
    <x:row r="310">
      <x:c r="A310" s="54"/>
      <x:c r="B310" s="60"/>
      <x:c r="C310" s="54"/>
      <x:c r="D310" s="57" t="str">
        <x:f>IF($C310="","",IFERROR(VLOOKUP($C310,'Leads'!$A$6:$C$505,3,FALSE),"Lead ID not found"))</x:f>
      </x:c>
      <x:c r="E310" s="54"/>
      <x:c r="F310" s="54"/>
      <x:c r="G310" s="63"/>
      <x:c r="H310" s="54"/>
      <x:c r="I310" s="60"/>
      <x:c r="J310" s="54"/>
      <x:c r="K310" s="54"/>
      <x:c r="L310" s="54"/>
      <x:c r="M310" s="63"/>
    </x:row>
    <x:row r="311">
      <x:c r="A311" s="54"/>
      <x:c r="B311" s="60"/>
      <x:c r="C311" s="54"/>
      <x:c r="D311" s="57" t="str">
        <x:f>IF($C311="","",IFERROR(VLOOKUP($C311,'Leads'!$A$6:$C$505,3,FALSE),"Lead ID not found"))</x:f>
      </x:c>
      <x:c r="E311" s="54"/>
      <x:c r="F311" s="54"/>
      <x:c r="G311" s="63"/>
      <x:c r="H311" s="54"/>
      <x:c r="I311" s="60"/>
      <x:c r="J311" s="54"/>
      <x:c r="K311" s="54"/>
      <x:c r="L311" s="54"/>
      <x:c r="M311" s="63"/>
    </x:row>
    <x:row r="312">
      <x:c r="A312" s="54"/>
      <x:c r="B312" s="60"/>
      <x:c r="C312" s="54"/>
      <x:c r="D312" s="57" t="str">
        <x:f>IF($C312="","",IFERROR(VLOOKUP($C312,'Leads'!$A$6:$C$505,3,FALSE),"Lead ID not found"))</x:f>
      </x:c>
      <x:c r="E312" s="54"/>
      <x:c r="F312" s="54"/>
      <x:c r="G312" s="63"/>
      <x:c r="H312" s="54"/>
      <x:c r="I312" s="60"/>
      <x:c r="J312" s="54"/>
      <x:c r="K312" s="54"/>
      <x:c r="L312" s="54"/>
      <x:c r="M312" s="63"/>
    </x:row>
    <x:row r="313">
      <x:c r="A313" s="54"/>
      <x:c r="B313" s="60"/>
      <x:c r="C313" s="54"/>
      <x:c r="D313" s="57" t="str">
        <x:f>IF($C313="","",IFERROR(VLOOKUP($C313,'Leads'!$A$6:$C$505,3,FALSE),"Lead ID not found"))</x:f>
      </x:c>
      <x:c r="E313" s="54"/>
      <x:c r="F313" s="54"/>
      <x:c r="G313" s="63"/>
      <x:c r="H313" s="54"/>
      <x:c r="I313" s="60"/>
      <x:c r="J313" s="54"/>
      <x:c r="K313" s="54"/>
      <x:c r="L313" s="54"/>
      <x:c r="M313" s="63"/>
    </x:row>
    <x:row r="314">
      <x:c r="A314" s="54"/>
      <x:c r="B314" s="60"/>
      <x:c r="C314" s="54"/>
      <x:c r="D314" s="57" t="str">
        <x:f>IF($C314="","",IFERROR(VLOOKUP($C314,'Leads'!$A$6:$C$505,3,FALSE),"Lead ID not found"))</x:f>
      </x:c>
      <x:c r="E314" s="54"/>
      <x:c r="F314" s="54"/>
      <x:c r="G314" s="63"/>
      <x:c r="H314" s="54"/>
      <x:c r="I314" s="60"/>
      <x:c r="J314" s="54"/>
      <x:c r="K314" s="54"/>
      <x:c r="L314" s="54"/>
      <x:c r="M314" s="63"/>
    </x:row>
    <x:row r="315">
      <x:c r="A315" s="54"/>
      <x:c r="B315" s="60"/>
      <x:c r="C315" s="54"/>
      <x:c r="D315" s="57" t="str">
        <x:f>IF($C315="","",IFERROR(VLOOKUP($C315,'Leads'!$A$6:$C$505,3,FALSE),"Lead ID not found"))</x:f>
      </x:c>
      <x:c r="E315" s="54"/>
      <x:c r="F315" s="54"/>
      <x:c r="G315" s="63"/>
      <x:c r="H315" s="54"/>
      <x:c r="I315" s="60"/>
      <x:c r="J315" s="54"/>
      <x:c r="K315" s="54"/>
      <x:c r="L315" s="54"/>
      <x:c r="M315" s="63"/>
    </x:row>
    <x:row r="316">
      <x:c r="A316" s="54"/>
      <x:c r="B316" s="60"/>
      <x:c r="C316" s="54"/>
      <x:c r="D316" s="57" t="str">
        <x:f>IF($C316="","",IFERROR(VLOOKUP($C316,'Leads'!$A$6:$C$505,3,FALSE),"Lead ID not found"))</x:f>
      </x:c>
      <x:c r="E316" s="54"/>
      <x:c r="F316" s="54"/>
      <x:c r="G316" s="63"/>
      <x:c r="H316" s="54"/>
      <x:c r="I316" s="60"/>
      <x:c r="J316" s="54"/>
      <x:c r="K316" s="54"/>
      <x:c r="L316" s="54"/>
      <x:c r="M316" s="63"/>
    </x:row>
    <x:row r="317">
      <x:c r="A317" s="54"/>
      <x:c r="B317" s="60"/>
      <x:c r="C317" s="54"/>
      <x:c r="D317" s="57" t="str">
        <x:f>IF($C317="","",IFERROR(VLOOKUP($C317,'Leads'!$A$6:$C$505,3,FALSE),"Lead ID not found"))</x:f>
      </x:c>
      <x:c r="E317" s="54"/>
      <x:c r="F317" s="54"/>
      <x:c r="G317" s="63"/>
      <x:c r="H317" s="54"/>
      <x:c r="I317" s="60"/>
      <x:c r="J317" s="54"/>
      <x:c r="K317" s="54"/>
      <x:c r="L317" s="54"/>
      <x:c r="M317" s="63"/>
    </x:row>
    <x:row r="318">
      <x:c r="A318" s="54"/>
      <x:c r="B318" s="60"/>
      <x:c r="C318" s="54"/>
      <x:c r="D318" s="57" t="str">
        <x:f>IF($C318="","",IFERROR(VLOOKUP($C318,'Leads'!$A$6:$C$505,3,FALSE),"Lead ID not found"))</x:f>
      </x:c>
      <x:c r="E318" s="54"/>
      <x:c r="F318" s="54"/>
      <x:c r="G318" s="63"/>
      <x:c r="H318" s="54"/>
      <x:c r="I318" s="60"/>
      <x:c r="J318" s="54"/>
      <x:c r="K318" s="54"/>
      <x:c r="L318" s="54"/>
      <x:c r="M318" s="63"/>
    </x:row>
    <x:row r="319">
      <x:c r="A319" s="54"/>
      <x:c r="B319" s="60"/>
      <x:c r="C319" s="54"/>
      <x:c r="D319" s="57" t="str">
        <x:f>IF($C319="","",IFERROR(VLOOKUP($C319,'Leads'!$A$6:$C$505,3,FALSE),"Lead ID not found"))</x:f>
      </x:c>
      <x:c r="E319" s="54"/>
      <x:c r="F319" s="54"/>
      <x:c r="G319" s="63"/>
      <x:c r="H319" s="54"/>
      <x:c r="I319" s="60"/>
      <x:c r="J319" s="54"/>
      <x:c r="K319" s="54"/>
      <x:c r="L319" s="54"/>
      <x:c r="M319" s="63"/>
    </x:row>
    <x:row r="320">
      <x:c r="A320" s="54"/>
      <x:c r="B320" s="60"/>
      <x:c r="C320" s="54"/>
      <x:c r="D320" s="57" t="str">
        <x:f>IF($C320="","",IFERROR(VLOOKUP($C320,'Leads'!$A$6:$C$505,3,FALSE),"Lead ID not found"))</x:f>
      </x:c>
      <x:c r="E320" s="54"/>
      <x:c r="F320" s="54"/>
      <x:c r="G320" s="63"/>
      <x:c r="H320" s="54"/>
      <x:c r="I320" s="60"/>
      <x:c r="J320" s="54"/>
      <x:c r="K320" s="54"/>
      <x:c r="L320" s="54"/>
      <x:c r="M320" s="63"/>
    </x:row>
    <x:row r="321">
      <x:c r="A321" s="54"/>
      <x:c r="B321" s="60"/>
      <x:c r="C321" s="54"/>
      <x:c r="D321" s="57" t="str">
        <x:f>IF($C321="","",IFERROR(VLOOKUP($C321,'Leads'!$A$6:$C$505,3,FALSE),"Lead ID not found"))</x:f>
      </x:c>
      <x:c r="E321" s="54"/>
      <x:c r="F321" s="54"/>
      <x:c r="G321" s="63"/>
      <x:c r="H321" s="54"/>
      <x:c r="I321" s="60"/>
      <x:c r="J321" s="54"/>
      <x:c r="K321" s="54"/>
      <x:c r="L321" s="54"/>
      <x:c r="M321" s="63"/>
    </x:row>
    <x:row r="322">
      <x:c r="A322" s="54"/>
      <x:c r="B322" s="60"/>
      <x:c r="C322" s="54"/>
      <x:c r="D322" s="57" t="str">
        <x:f>IF($C322="","",IFERROR(VLOOKUP($C322,'Leads'!$A$6:$C$505,3,FALSE),"Lead ID not found"))</x:f>
      </x:c>
      <x:c r="E322" s="54"/>
      <x:c r="F322" s="54"/>
      <x:c r="G322" s="63"/>
      <x:c r="H322" s="54"/>
      <x:c r="I322" s="60"/>
      <x:c r="J322" s="54"/>
      <x:c r="K322" s="54"/>
      <x:c r="L322" s="54"/>
      <x:c r="M322" s="63"/>
    </x:row>
    <x:row r="323">
      <x:c r="A323" s="54"/>
      <x:c r="B323" s="60"/>
      <x:c r="C323" s="54"/>
      <x:c r="D323" s="57" t="str">
        <x:f>IF($C323="","",IFERROR(VLOOKUP($C323,'Leads'!$A$6:$C$505,3,FALSE),"Lead ID not found"))</x:f>
      </x:c>
      <x:c r="E323" s="54"/>
      <x:c r="F323" s="54"/>
      <x:c r="G323" s="63"/>
      <x:c r="H323" s="54"/>
      <x:c r="I323" s="60"/>
      <x:c r="J323" s="54"/>
      <x:c r="K323" s="54"/>
      <x:c r="L323" s="54"/>
      <x:c r="M323" s="63"/>
    </x:row>
    <x:row r="324">
      <x:c r="A324" s="54"/>
      <x:c r="B324" s="60"/>
      <x:c r="C324" s="54"/>
      <x:c r="D324" s="57" t="str">
        <x:f>IF($C324="","",IFERROR(VLOOKUP($C324,'Leads'!$A$6:$C$505,3,FALSE),"Lead ID not found"))</x:f>
      </x:c>
      <x:c r="E324" s="54"/>
      <x:c r="F324" s="54"/>
      <x:c r="G324" s="63"/>
      <x:c r="H324" s="54"/>
      <x:c r="I324" s="60"/>
      <x:c r="J324" s="54"/>
      <x:c r="K324" s="54"/>
      <x:c r="L324" s="54"/>
      <x:c r="M324" s="63"/>
    </x:row>
    <x:row r="325">
      <x:c r="A325" s="54"/>
      <x:c r="B325" s="60"/>
      <x:c r="C325" s="54"/>
      <x:c r="D325" s="57" t="str">
        <x:f>IF($C325="","",IFERROR(VLOOKUP($C325,'Leads'!$A$6:$C$505,3,FALSE),"Lead ID not found"))</x:f>
      </x:c>
      <x:c r="E325" s="54"/>
      <x:c r="F325" s="54"/>
      <x:c r="G325" s="63"/>
      <x:c r="H325" s="54"/>
      <x:c r="I325" s="60"/>
      <x:c r="J325" s="54"/>
      <x:c r="K325" s="54"/>
      <x:c r="L325" s="54"/>
      <x:c r="M325" s="63"/>
    </x:row>
    <x:row r="326">
      <x:c r="A326" s="54"/>
      <x:c r="B326" s="60"/>
      <x:c r="C326" s="54"/>
      <x:c r="D326" s="57" t="str">
        <x:f>IF($C326="","",IFERROR(VLOOKUP($C326,'Leads'!$A$6:$C$505,3,FALSE),"Lead ID not found"))</x:f>
      </x:c>
      <x:c r="E326" s="54"/>
      <x:c r="F326" s="54"/>
      <x:c r="G326" s="63"/>
      <x:c r="H326" s="54"/>
      <x:c r="I326" s="60"/>
      <x:c r="J326" s="54"/>
      <x:c r="K326" s="54"/>
      <x:c r="L326" s="54"/>
      <x:c r="M326" s="63"/>
    </x:row>
    <x:row r="327">
      <x:c r="A327" s="54"/>
      <x:c r="B327" s="60"/>
      <x:c r="C327" s="54"/>
      <x:c r="D327" s="57" t="str">
        <x:f>IF($C327="","",IFERROR(VLOOKUP($C327,'Leads'!$A$6:$C$505,3,FALSE),"Lead ID not found"))</x:f>
      </x:c>
      <x:c r="E327" s="54"/>
      <x:c r="F327" s="54"/>
      <x:c r="G327" s="63"/>
      <x:c r="H327" s="54"/>
      <x:c r="I327" s="60"/>
      <x:c r="J327" s="54"/>
      <x:c r="K327" s="54"/>
      <x:c r="L327" s="54"/>
      <x:c r="M327" s="63"/>
    </x:row>
    <x:row r="328">
      <x:c r="A328" s="54"/>
      <x:c r="B328" s="60"/>
      <x:c r="C328" s="54"/>
      <x:c r="D328" s="57" t="str">
        <x:f>IF($C328="","",IFERROR(VLOOKUP($C328,'Leads'!$A$6:$C$505,3,FALSE),"Lead ID not found"))</x:f>
      </x:c>
      <x:c r="E328" s="54"/>
      <x:c r="F328" s="54"/>
      <x:c r="G328" s="63"/>
      <x:c r="H328" s="54"/>
      <x:c r="I328" s="60"/>
      <x:c r="J328" s="54"/>
      <x:c r="K328" s="54"/>
      <x:c r="L328" s="54"/>
      <x:c r="M328" s="63"/>
    </x:row>
    <x:row r="329">
      <x:c r="A329" s="54"/>
      <x:c r="B329" s="60"/>
      <x:c r="C329" s="54"/>
      <x:c r="D329" s="57" t="str">
        <x:f>IF($C329="","",IFERROR(VLOOKUP($C329,'Leads'!$A$6:$C$505,3,FALSE),"Lead ID not found"))</x:f>
      </x:c>
      <x:c r="E329" s="54"/>
      <x:c r="F329" s="54"/>
      <x:c r="G329" s="63"/>
      <x:c r="H329" s="54"/>
      <x:c r="I329" s="60"/>
      <x:c r="J329" s="54"/>
      <x:c r="K329" s="54"/>
      <x:c r="L329" s="54"/>
      <x:c r="M329" s="63"/>
    </x:row>
    <x:row r="330">
      <x:c r="A330" s="54"/>
      <x:c r="B330" s="60"/>
      <x:c r="C330" s="54"/>
      <x:c r="D330" s="57" t="str">
        <x:f>IF($C330="","",IFERROR(VLOOKUP($C330,'Leads'!$A$6:$C$505,3,FALSE),"Lead ID not found"))</x:f>
      </x:c>
      <x:c r="E330" s="54"/>
      <x:c r="F330" s="54"/>
      <x:c r="G330" s="63"/>
      <x:c r="H330" s="54"/>
      <x:c r="I330" s="60"/>
      <x:c r="J330" s="54"/>
      <x:c r="K330" s="54"/>
      <x:c r="L330" s="54"/>
      <x:c r="M330" s="63"/>
    </x:row>
    <x:row r="331">
      <x:c r="A331" s="54"/>
      <x:c r="B331" s="60"/>
      <x:c r="C331" s="54"/>
      <x:c r="D331" s="57" t="str">
        <x:f>IF($C331="","",IFERROR(VLOOKUP($C331,'Leads'!$A$6:$C$505,3,FALSE),"Lead ID not found"))</x:f>
      </x:c>
      <x:c r="E331" s="54"/>
      <x:c r="F331" s="54"/>
      <x:c r="G331" s="63"/>
      <x:c r="H331" s="54"/>
      <x:c r="I331" s="60"/>
      <x:c r="J331" s="54"/>
      <x:c r="K331" s="54"/>
      <x:c r="L331" s="54"/>
      <x:c r="M331" s="63"/>
    </x:row>
    <x:row r="332">
      <x:c r="A332" s="54"/>
      <x:c r="B332" s="60"/>
      <x:c r="C332" s="54"/>
      <x:c r="D332" s="57" t="str">
        <x:f>IF($C332="","",IFERROR(VLOOKUP($C332,'Leads'!$A$6:$C$505,3,FALSE),"Lead ID not found"))</x:f>
      </x:c>
      <x:c r="E332" s="54"/>
      <x:c r="F332" s="54"/>
      <x:c r="G332" s="63"/>
      <x:c r="H332" s="54"/>
      <x:c r="I332" s="60"/>
      <x:c r="J332" s="54"/>
      <x:c r="K332" s="54"/>
      <x:c r="L332" s="54"/>
      <x:c r="M332" s="63"/>
    </x:row>
    <x:row r="333">
      <x:c r="A333" s="54"/>
      <x:c r="B333" s="60"/>
      <x:c r="C333" s="54"/>
      <x:c r="D333" s="57" t="str">
        <x:f>IF($C333="","",IFERROR(VLOOKUP($C333,'Leads'!$A$6:$C$505,3,FALSE),"Lead ID not found"))</x:f>
      </x:c>
      <x:c r="E333" s="54"/>
      <x:c r="F333" s="54"/>
      <x:c r="G333" s="63"/>
      <x:c r="H333" s="54"/>
      <x:c r="I333" s="60"/>
      <x:c r="J333" s="54"/>
      <x:c r="K333" s="54"/>
      <x:c r="L333" s="54"/>
      <x:c r="M333" s="63"/>
    </x:row>
    <x:row r="334">
      <x:c r="A334" s="54"/>
      <x:c r="B334" s="60"/>
      <x:c r="C334" s="54"/>
      <x:c r="D334" s="57" t="str">
        <x:f>IF($C334="","",IFERROR(VLOOKUP($C334,'Leads'!$A$6:$C$505,3,FALSE),"Lead ID not found"))</x:f>
      </x:c>
      <x:c r="E334" s="54"/>
      <x:c r="F334" s="54"/>
      <x:c r="G334" s="63"/>
      <x:c r="H334" s="54"/>
      <x:c r="I334" s="60"/>
      <x:c r="J334" s="54"/>
      <x:c r="K334" s="54"/>
      <x:c r="L334" s="54"/>
      <x:c r="M334" s="63"/>
    </x:row>
    <x:row r="335">
      <x:c r="A335" s="54"/>
      <x:c r="B335" s="60"/>
      <x:c r="C335" s="54"/>
      <x:c r="D335" s="57" t="str">
        <x:f>IF($C335="","",IFERROR(VLOOKUP($C335,'Leads'!$A$6:$C$505,3,FALSE),"Lead ID not found"))</x:f>
      </x:c>
      <x:c r="E335" s="54"/>
      <x:c r="F335" s="54"/>
      <x:c r="G335" s="63"/>
      <x:c r="H335" s="54"/>
      <x:c r="I335" s="60"/>
      <x:c r="J335" s="54"/>
      <x:c r="K335" s="54"/>
      <x:c r="L335" s="54"/>
      <x:c r="M335" s="63"/>
    </x:row>
    <x:row r="336">
      <x:c r="A336" s="54"/>
      <x:c r="B336" s="60"/>
      <x:c r="C336" s="54"/>
      <x:c r="D336" s="57" t="str">
        <x:f>IF($C336="","",IFERROR(VLOOKUP($C336,'Leads'!$A$6:$C$505,3,FALSE),"Lead ID not found"))</x:f>
      </x:c>
      <x:c r="E336" s="54"/>
      <x:c r="F336" s="54"/>
      <x:c r="G336" s="63"/>
      <x:c r="H336" s="54"/>
      <x:c r="I336" s="60"/>
      <x:c r="J336" s="54"/>
      <x:c r="K336" s="54"/>
      <x:c r="L336" s="54"/>
      <x:c r="M336" s="63"/>
    </x:row>
    <x:row r="337">
      <x:c r="A337" s="54"/>
      <x:c r="B337" s="60"/>
      <x:c r="C337" s="54"/>
      <x:c r="D337" s="57" t="str">
        <x:f>IF($C337="","",IFERROR(VLOOKUP($C337,'Leads'!$A$6:$C$505,3,FALSE),"Lead ID not found"))</x:f>
      </x:c>
      <x:c r="E337" s="54"/>
      <x:c r="F337" s="54"/>
      <x:c r="G337" s="63"/>
      <x:c r="H337" s="54"/>
      <x:c r="I337" s="60"/>
      <x:c r="J337" s="54"/>
      <x:c r="K337" s="54"/>
      <x:c r="L337" s="54"/>
      <x:c r="M337" s="63"/>
    </x:row>
    <x:row r="338">
      <x:c r="A338" s="54"/>
      <x:c r="B338" s="60"/>
      <x:c r="C338" s="54"/>
      <x:c r="D338" s="57" t="str">
        <x:f>IF($C338="","",IFERROR(VLOOKUP($C338,'Leads'!$A$6:$C$505,3,FALSE),"Lead ID not found"))</x:f>
      </x:c>
      <x:c r="E338" s="54"/>
      <x:c r="F338" s="54"/>
      <x:c r="G338" s="63"/>
      <x:c r="H338" s="54"/>
      <x:c r="I338" s="60"/>
      <x:c r="J338" s="54"/>
      <x:c r="K338" s="54"/>
      <x:c r="L338" s="54"/>
      <x:c r="M338" s="63"/>
    </x:row>
    <x:row r="339">
      <x:c r="A339" s="54"/>
      <x:c r="B339" s="60"/>
      <x:c r="C339" s="54"/>
      <x:c r="D339" s="57" t="str">
        <x:f>IF($C339="","",IFERROR(VLOOKUP($C339,'Leads'!$A$6:$C$505,3,FALSE),"Lead ID not found"))</x:f>
      </x:c>
      <x:c r="E339" s="54"/>
      <x:c r="F339" s="54"/>
      <x:c r="G339" s="63"/>
      <x:c r="H339" s="54"/>
      <x:c r="I339" s="60"/>
      <x:c r="J339" s="54"/>
      <x:c r="K339" s="54"/>
      <x:c r="L339" s="54"/>
      <x:c r="M339" s="63"/>
    </x:row>
    <x:row r="340">
      <x:c r="A340" s="54"/>
      <x:c r="B340" s="60"/>
      <x:c r="C340" s="54"/>
      <x:c r="D340" s="57" t="str">
        <x:f>IF($C340="","",IFERROR(VLOOKUP($C340,'Leads'!$A$6:$C$505,3,FALSE),"Lead ID not found"))</x:f>
      </x:c>
      <x:c r="E340" s="54"/>
      <x:c r="F340" s="54"/>
      <x:c r="G340" s="63"/>
      <x:c r="H340" s="54"/>
      <x:c r="I340" s="60"/>
      <x:c r="J340" s="54"/>
      <x:c r="K340" s="54"/>
      <x:c r="L340" s="54"/>
      <x:c r="M340" s="63"/>
    </x:row>
    <x:row r="341">
      <x:c r="A341" s="54"/>
      <x:c r="B341" s="60"/>
      <x:c r="C341" s="54"/>
      <x:c r="D341" s="57" t="str">
        <x:f>IF($C341="","",IFERROR(VLOOKUP($C341,'Leads'!$A$6:$C$505,3,FALSE),"Lead ID not found"))</x:f>
      </x:c>
      <x:c r="E341" s="54"/>
      <x:c r="F341" s="54"/>
      <x:c r="G341" s="63"/>
      <x:c r="H341" s="54"/>
      <x:c r="I341" s="60"/>
      <x:c r="J341" s="54"/>
      <x:c r="K341" s="54"/>
      <x:c r="L341" s="54"/>
      <x:c r="M341" s="63"/>
    </x:row>
    <x:row r="342">
      <x:c r="A342" s="54"/>
      <x:c r="B342" s="60"/>
      <x:c r="C342" s="54"/>
      <x:c r="D342" s="57" t="str">
        <x:f>IF($C342="","",IFERROR(VLOOKUP($C342,'Leads'!$A$6:$C$505,3,FALSE),"Lead ID not found"))</x:f>
      </x:c>
      <x:c r="E342" s="54"/>
      <x:c r="F342" s="54"/>
      <x:c r="G342" s="63"/>
      <x:c r="H342" s="54"/>
      <x:c r="I342" s="60"/>
      <x:c r="J342" s="54"/>
      <x:c r="K342" s="54"/>
      <x:c r="L342" s="54"/>
      <x:c r="M342" s="63"/>
    </x:row>
    <x:row r="343">
      <x:c r="A343" s="54"/>
      <x:c r="B343" s="60"/>
      <x:c r="C343" s="54"/>
      <x:c r="D343" s="57" t="str">
        <x:f>IF($C343="","",IFERROR(VLOOKUP($C343,'Leads'!$A$6:$C$505,3,FALSE),"Lead ID not found"))</x:f>
      </x:c>
      <x:c r="E343" s="54"/>
      <x:c r="F343" s="54"/>
      <x:c r="G343" s="63"/>
      <x:c r="H343" s="54"/>
      <x:c r="I343" s="60"/>
      <x:c r="J343" s="54"/>
      <x:c r="K343" s="54"/>
      <x:c r="L343" s="54"/>
      <x:c r="M343" s="63"/>
    </x:row>
    <x:row r="344">
      <x:c r="A344" s="54"/>
      <x:c r="B344" s="60"/>
      <x:c r="C344" s="54"/>
      <x:c r="D344" s="57" t="str">
        <x:f>IF($C344="","",IFERROR(VLOOKUP($C344,'Leads'!$A$6:$C$505,3,FALSE),"Lead ID not found"))</x:f>
      </x:c>
      <x:c r="E344" s="54"/>
      <x:c r="F344" s="54"/>
      <x:c r="G344" s="63"/>
      <x:c r="H344" s="54"/>
      <x:c r="I344" s="60"/>
      <x:c r="J344" s="54"/>
      <x:c r="K344" s="54"/>
      <x:c r="L344" s="54"/>
      <x:c r="M344" s="63"/>
    </x:row>
    <x:row r="345">
      <x:c r="A345" s="54"/>
      <x:c r="B345" s="60"/>
      <x:c r="C345" s="54"/>
      <x:c r="D345" s="57" t="str">
        <x:f>IF($C345="","",IFERROR(VLOOKUP($C345,'Leads'!$A$6:$C$505,3,FALSE),"Lead ID not found"))</x:f>
      </x:c>
      <x:c r="E345" s="54"/>
      <x:c r="F345" s="54"/>
      <x:c r="G345" s="63"/>
      <x:c r="H345" s="54"/>
      <x:c r="I345" s="60"/>
      <x:c r="J345" s="54"/>
      <x:c r="K345" s="54"/>
      <x:c r="L345" s="54"/>
      <x:c r="M345" s="63"/>
    </x:row>
    <x:row r="346">
      <x:c r="A346" s="54"/>
      <x:c r="B346" s="60"/>
      <x:c r="C346" s="54"/>
      <x:c r="D346" s="57" t="str">
        <x:f>IF($C346="","",IFERROR(VLOOKUP($C346,'Leads'!$A$6:$C$505,3,FALSE),"Lead ID not found"))</x:f>
      </x:c>
      <x:c r="E346" s="54"/>
      <x:c r="F346" s="54"/>
      <x:c r="G346" s="63"/>
      <x:c r="H346" s="54"/>
      <x:c r="I346" s="60"/>
      <x:c r="J346" s="54"/>
      <x:c r="K346" s="54"/>
      <x:c r="L346" s="54"/>
      <x:c r="M346" s="63"/>
    </x:row>
    <x:row r="347">
      <x:c r="A347" s="54"/>
      <x:c r="B347" s="60"/>
      <x:c r="C347" s="54"/>
      <x:c r="D347" s="57" t="str">
        <x:f>IF($C347="","",IFERROR(VLOOKUP($C347,'Leads'!$A$6:$C$505,3,FALSE),"Lead ID not found"))</x:f>
      </x:c>
      <x:c r="E347" s="54"/>
      <x:c r="F347" s="54"/>
      <x:c r="G347" s="63"/>
      <x:c r="H347" s="54"/>
      <x:c r="I347" s="60"/>
      <x:c r="J347" s="54"/>
      <x:c r="K347" s="54"/>
      <x:c r="L347" s="54"/>
      <x:c r="M347" s="63"/>
    </x:row>
    <x:row r="348">
      <x:c r="A348" s="54"/>
      <x:c r="B348" s="60"/>
      <x:c r="C348" s="54"/>
      <x:c r="D348" s="57" t="str">
        <x:f>IF($C348="","",IFERROR(VLOOKUP($C348,'Leads'!$A$6:$C$505,3,FALSE),"Lead ID not found"))</x:f>
      </x:c>
      <x:c r="E348" s="54"/>
      <x:c r="F348" s="54"/>
      <x:c r="G348" s="63"/>
      <x:c r="H348" s="54"/>
      <x:c r="I348" s="60"/>
      <x:c r="J348" s="54"/>
      <x:c r="K348" s="54"/>
      <x:c r="L348" s="54"/>
      <x:c r="M348" s="63"/>
    </x:row>
    <x:row r="349">
      <x:c r="A349" s="54"/>
      <x:c r="B349" s="60"/>
      <x:c r="C349" s="54"/>
      <x:c r="D349" s="57" t="str">
        <x:f>IF($C349="","",IFERROR(VLOOKUP($C349,'Leads'!$A$6:$C$505,3,FALSE),"Lead ID not found"))</x:f>
      </x:c>
      <x:c r="E349" s="54"/>
      <x:c r="F349" s="54"/>
      <x:c r="G349" s="63"/>
      <x:c r="H349" s="54"/>
      <x:c r="I349" s="60"/>
      <x:c r="J349" s="54"/>
      <x:c r="K349" s="54"/>
      <x:c r="L349" s="54"/>
      <x:c r="M349" s="63"/>
    </x:row>
    <x:row r="350">
      <x:c r="A350" s="54"/>
      <x:c r="B350" s="60"/>
      <x:c r="C350" s="54"/>
      <x:c r="D350" s="57" t="str">
        <x:f>IF($C350="","",IFERROR(VLOOKUP($C350,'Leads'!$A$6:$C$505,3,FALSE),"Lead ID not found"))</x:f>
      </x:c>
      <x:c r="E350" s="54"/>
      <x:c r="F350" s="54"/>
      <x:c r="G350" s="63"/>
      <x:c r="H350" s="54"/>
      <x:c r="I350" s="60"/>
      <x:c r="J350" s="54"/>
      <x:c r="K350" s="54"/>
      <x:c r="L350" s="54"/>
      <x:c r="M350" s="63"/>
    </x:row>
    <x:row r="351">
      <x:c r="A351" s="54"/>
      <x:c r="B351" s="60"/>
      <x:c r="C351" s="54"/>
      <x:c r="D351" s="57" t="str">
        <x:f>IF($C351="","",IFERROR(VLOOKUP($C351,'Leads'!$A$6:$C$505,3,FALSE),"Lead ID not found"))</x:f>
      </x:c>
      <x:c r="E351" s="54"/>
      <x:c r="F351" s="54"/>
      <x:c r="G351" s="63"/>
      <x:c r="H351" s="54"/>
      <x:c r="I351" s="60"/>
      <x:c r="J351" s="54"/>
      <x:c r="K351" s="54"/>
      <x:c r="L351" s="54"/>
      <x:c r="M351" s="63"/>
    </x:row>
    <x:row r="352">
      <x:c r="A352" s="54"/>
      <x:c r="B352" s="60"/>
      <x:c r="C352" s="54"/>
      <x:c r="D352" s="57" t="str">
        <x:f>IF($C352="","",IFERROR(VLOOKUP($C352,'Leads'!$A$6:$C$505,3,FALSE),"Lead ID not found"))</x:f>
      </x:c>
      <x:c r="E352" s="54"/>
      <x:c r="F352" s="54"/>
      <x:c r="G352" s="63"/>
      <x:c r="H352" s="54"/>
      <x:c r="I352" s="60"/>
      <x:c r="J352" s="54"/>
      <x:c r="K352" s="54"/>
      <x:c r="L352" s="54"/>
      <x:c r="M352" s="63"/>
    </x:row>
    <x:row r="353">
      <x:c r="A353" s="54"/>
      <x:c r="B353" s="60"/>
      <x:c r="C353" s="54"/>
      <x:c r="D353" s="57" t="str">
        <x:f>IF($C353="","",IFERROR(VLOOKUP($C353,'Leads'!$A$6:$C$505,3,FALSE),"Lead ID not found"))</x:f>
      </x:c>
      <x:c r="E353" s="54"/>
      <x:c r="F353" s="54"/>
      <x:c r="G353" s="63"/>
      <x:c r="H353" s="54"/>
      <x:c r="I353" s="60"/>
      <x:c r="J353" s="54"/>
      <x:c r="K353" s="54"/>
      <x:c r="L353" s="54"/>
      <x:c r="M353" s="63"/>
    </x:row>
    <x:row r="354">
      <x:c r="A354" s="54"/>
      <x:c r="B354" s="60"/>
      <x:c r="C354" s="54"/>
      <x:c r="D354" s="57" t="str">
        <x:f>IF($C354="","",IFERROR(VLOOKUP($C354,'Leads'!$A$6:$C$505,3,FALSE),"Lead ID not found"))</x:f>
      </x:c>
      <x:c r="E354" s="54"/>
      <x:c r="F354" s="54"/>
      <x:c r="G354" s="63"/>
      <x:c r="H354" s="54"/>
      <x:c r="I354" s="60"/>
      <x:c r="J354" s="54"/>
      <x:c r="K354" s="54"/>
      <x:c r="L354" s="54"/>
      <x:c r="M354" s="63"/>
    </x:row>
    <x:row r="355">
      <x:c r="A355" s="54"/>
      <x:c r="B355" s="60"/>
      <x:c r="C355" s="54"/>
      <x:c r="D355" s="57" t="str">
        <x:f>IF($C355="","",IFERROR(VLOOKUP($C355,'Leads'!$A$6:$C$505,3,FALSE),"Lead ID not found"))</x:f>
      </x:c>
      <x:c r="E355" s="54"/>
      <x:c r="F355" s="54"/>
      <x:c r="G355" s="63"/>
      <x:c r="H355" s="54"/>
      <x:c r="I355" s="60"/>
      <x:c r="J355" s="54"/>
      <x:c r="K355" s="54"/>
      <x:c r="L355" s="54"/>
      <x:c r="M355" s="63"/>
    </x:row>
    <x:row r="356">
      <x:c r="A356" s="54"/>
      <x:c r="B356" s="60"/>
      <x:c r="C356" s="54"/>
      <x:c r="D356" s="57" t="str">
        <x:f>IF($C356="","",IFERROR(VLOOKUP($C356,'Leads'!$A$6:$C$505,3,FALSE),"Lead ID not found"))</x:f>
      </x:c>
      <x:c r="E356" s="54"/>
      <x:c r="F356" s="54"/>
      <x:c r="G356" s="63"/>
      <x:c r="H356" s="54"/>
      <x:c r="I356" s="60"/>
      <x:c r="J356" s="54"/>
      <x:c r="K356" s="54"/>
      <x:c r="L356" s="54"/>
      <x:c r="M356" s="63"/>
    </x:row>
    <x:row r="357">
      <x:c r="A357" s="54"/>
      <x:c r="B357" s="60"/>
      <x:c r="C357" s="54"/>
      <x:c r="D357" s="57" t="str">
        <x:f>IF($C357="","",IFERROR(VLOOKUP($C357,'Leads'!$A$6:$C$505,3,FALSE),"Lead ID not found"))</x:f>
      </x:c>
      <x:c r="E357" s="54"/>
      <x:c r="F357" s="54"/>
      <x:c r="G357" s="63"/>
      <x:c r="H357" s="54"/>
      <x:c r="I357" s="60"/>
      <x:c r="J357" s="54"/>
      <x:c r="K357" s="54"/>
      <x:c r="L357" s="54"/>
      <x:c r="M357" s="63"/>
    </x:row>
    <x:row r="358">
      <x:c r="A358" s="54"/>
      <x:c r="B358" s="60"/>
      <x:c r="C358" s="54"/>
      <x:c r="D358" s="57" t="str">
        <x:f>IF($C358="","",IFERROR(VLOOKUP($C358,'Leads'!$A$6:$C$505,3,FALSE),"Lead ID not found"))</x:f>
      </x:c>
      <x:c r="E358" s="54"/>
      <x:c r="F358" s="54"/>
      <x:c r="G358" s="63"/>
      <x:c r="H358" s="54"/>
      <x:c r="I358" s="60"/>
      <x:c r="J358" s="54"/>
      <x:c r="K358" s="54"/>
      <x:c r="L358" s="54"/>
      <x:c r="M358" s="63"/>
    </x:row>
    <x:row r="359">
      <x:c r="A359" s="54"/>
      <x:c r="B359" s="60"/>
      <x:c r="C359" s="54"/>
      <x:c r="D359" s="57" t="str">
        <x:f>IF($C359="","",IFERROR(VLOOKUP($C359,'Leads'!$A$6:$C$505,3,FALSE),"Lead ID not found"))</x:f>
      </x:c>
      <x:c r="E359" s="54"/>
      <x:c r="F359" s="54"/>
      <x:c r="G359" s="63"/>
      <x:c r="H359" s="54"/>
      <x:c r="I359" s="60"/>
      <x:c r="J359" s="54"/>
      <x:c r="K359" s="54"/>
      <x:c r="L359" s="54"/>
      <x:c r="M359" s="63"/>
    </x:row>
    <x:row r="360">
      <x:c r="A360" s="54"/>
      <x:c r="B360" s="60"/>
      <x:c r="C360" s="54"/>
      <x:c r="D360" s="57" t="str">
        <x:f>IF($C360="","",IFERROR(VLOOKUP($C360,'Leads'!$A$6:$C$505,3,FALSE),"Lead ID not found"))</x:f>
      </x:c>
      <x:c r="E360" s="54"/>
      <x:c r="F360" s="54"/>
      <x:c r="G360" s="63"/>
      <x:c r="H360" s="54"/>
      <x:c r="I360" s="60"/>
      <x:c r="J360" s="54"/>
      <x:c r="K360" s="54"/>
      <x:c r="L360" s="54"/>
      <x:c r="M360" s="63"/>
    </x:row>
    <x:row r="361">
      <x:c r="A361" s="54"/>
      <x:c r="B361" s="60"/>
      <x:c r="C361" s="54"/>
      <x:c r="D361" s="57" t="str">
        <x:f>IF($C361="","",IFERROR(VLOOKUP($C361,'Leads'!$A$6:$C$505,3,FALSE),"Lead ID not found"))</x:f>
      </x:c>
      <x:c r="E361" s="54"/>
      <x:c r="F361" s="54"/>
      <x:c r="G361" s="63"/>
      <x:c r="H361" s="54"/>
      <x:c r="I361" s="60"/>
      <x:c r="J361" s="54"/>
      <x:c r="K361" s="54"/>
      <x:c r="L361" s="54"/>
      <x:c r="M361" s="63"/>
    </x:row>
    <x:row r="362">
      <x:c r="A362" s="54"/>
      <x:c r="B362" s="60"/>
      <x:c r="C362" s="54"/>
      <x:c r="D362" s="57" t="str">
        <x:f>IF($C362="","",IFERROR(VLOOKUP($C362,'Leads'!$A$6:$C$505,3,FALSE),"Lead ID not found"))</x:f>
      </x:c>
      <x:c r="E362" s="54"/>
      <x:c r="F362" s="54"/>
      <x:c r="G362" s="63"/>
      <x:c r="H362" s="54"/>
      <x:c r="I362" s="60"/>
      <x:c r="J362" s="54"/>
      <x:c r="K362" s="54"/>
      <x:c r="L362" s="54"/>
      <x:c r="M362" s="63"/>
    </x:row>
    <x:row r="363">
      <x:c r="A363" s="54"/>
      <x:c r="B363" s="60"/>
      <x:c r="C363" s="54"/>
      <x:c r="D363" s="57" t="str">
        <x:f>IF($C363="","",IFERROR(VLOOKUP($C363,'Leads'!$A$6:$C$505,3,FALSE),"Lead ID not found"))</x:f>
      </x:c>
      <x:c r="E363" s="54"/>
      <x:c r="F363" s="54"/>
      <x:c r="G363" s="63"/>
      <x:c r="H363" s="54"/>
      <x:c r="I363" s="60"/>
      <x:c r="J363" s="54"/>
      <x:c r="K363" s="54"/>
      <x:c r="L363" s="54"/>
      <x:c r="M363" s="63"/>
    </x:row>
    <x:row r="364">
      <x:c r="A364" s="54"/>
      <x:c r="B364" s="60"/>
      <x:c r="C364" s="54"/>
      <x:c r="D364" s="57" t="str">
        <x:f>IF($C364="","",IFERROR(VLOOKUP($C364,'Leads'!$A$6:$C$505,3,FALSE),"Lead ID not found"))</x:f>
      </x:c>
      <x:c r="E364" s="54"/>
      <x:c r="F364" s="54"/>
      <x:c r="G364" s="63"/>
      <x:c r="H364" s="54"/>
      <x:c r="I364" s="60"/>
      <x:c r="J364" s="54"/>
      <x:c r="K364" s="54"/>
      <x:c r="L364" s="54"/>
      <x:c r="M364" s="63"/>
    </x:row>
    <x:row r="365">
      <x:c r="A365" s="54"/>
      <x:c r="B365" s="60"/>
      <x:c r="C365" s="54"/>
      <x:c r="D365" s="57" t="str">
        <x:f>IF($C365="","",IFERROR(VLOOKUP($C365,'Leads'!$A$6:$C$505,3,FALSE),"Lead ID not found"))</x:f>
      </x:c>
      <x:c r="E365" s="54"/>
      <x:c r="F365" s="54"/>
      <x:c r="G365" s="63"/>
      <x:c r="H365" s="54"/>
      <x:c r="I365" s="60"/>
      <x:c r="J365" s="54"/>
      <x:c r="K365" s="54"/>
      <x:c r="L365" s="54"/>
      <x:c r="M365" s="63"/>
    </x:row>
    <x:row r="366">
      <x:c r="A366" s="54"/>
      <x:c r="B366" s="60"/>
      <x:c r="C366" s="54"/>
      <x:c r="D366" s="57" t="str">
        <x:f>IF($C366="","",IFERROR(VLOOKUP($C366,'Leads'!$A$6:$C$505,3,FALSE),"Lead ID not found"))</x:f>
      </x:c>
      <x:c r="E366" s="54"/>
      <x:c r="F366" s="54"/>
      <x:c r="G366" s="63"/>
      <x:c r="H366" s="54"/>
      <x:c r="I366" s="60"/>
      <x:c r="J366" s="54"/>
      <x:c r="K366" s="54"/>
      <x:c r="L366" s="54"/>
      <x:c r="M366" s="63"/>
    </x:row>
    <x:row r="367">
      <x:c r="A367" s="54"/>
      <x:c r="B367" s="60"/>
      <x:c r="C367" s="54"/>
      <x:c r="D367" s="57" t="str">
        <x:f>IF($C367="","",IFERROR(VLOOKUP($C367,'Leads'!$A$6:$C$505,3,FALSE),"Lead ID not found"))</x:f>
      </x:c>
      <x:c r="E367" s="54"/>
      <x:c r="F367" s="54"/>
      <x:c r="G367" s="63"/>
      <x:c r="H367" s="54"/>
      <x:c r="I367" s="60"/>
      <x:c r="J367" s="54"/>
      <x:c r="K367" s="54"/>
      <x:c r="L367" s="54"/>
      <x:c r="M367" s="63"/>
    </x:row>
    <x:row r="368">
      <x:c r="A368" s="54"/>
      <x:c r="B368" s="60"/>
      <x:c r="C368" s="54"/>
      <x:c r="D368" s="57" t="str">
        <x:f>IF($C368="","",IFERROR(VLOOKUP($C368,'Leads'!$A$6:$C$505,3,FALSE),"Lead ID not found"))</x:f>
      </x:c>
      <x:c r="E368" s="54"/>
      <x:c r="F368" s="54"/>
      <x:c r="G368" s="63"/>
      <x:c r="H368" s="54"/>
      <x:c r="I368" s="60"/>
      <x:c r="J368" s="54"/>
      <x:c r="K368" s="54"/>
      <x:c r="L368" s="54"/>
      <x:c r="M368" s="63"/>
    </x:row>
    <x:row r="369">
      <x:c r="A369" s="54"/>
      <x:c r="B369" s="60"/>
      <x:c r="C369" s="54"/>
      <x:c r="D369" s="57" t="str">
        <x:f>IF($C369="","",IFERROR(VLOOKUP($C369,'Leads'!$A$6:$C$505,3,FALSE),"Lead ID not found"))</x:f>
      </x:c>
      <x:c r="E369" s="54"/>
      <x:c r="F369" s="54"/>
      <x:c r="G369" s="63"/>
      <x:c r="H369" s="54"/>
      <x:c r="I369" s="60"/>
      <x:c r="J369" s="54"/>
      <x:c r="K369" s="54"/>
      <x:c r="L369" s="54"/>
      <x:c r="M369" s="63"/>
    </x:row>
    <x:row r="370">
      <x:c r="A370" s="54"/>
      <x:c r="B370" s="60"/>
      <x:c r="C370" s="54"/>
      <x:c r="D370" s="57" t="str">
        <x:f>IF($C370="","",IFERROR(VLOOKUP($C370,'Leads'!$A$6:$C$505,3,FALSE),"Lead ID not found"))</x:f>
      </x:c>
      <x:c r="E370" s="54"/>
      <x:c r="F370" s="54"/>
      <x:c r="G370" s="63"/>
      <x:c r="H370" s="54"/>
      <x:c r="I370" s="60"/>
      <x:c r="J370" s="54"/>
      <x:c r="K370" s="54"/>
      <x:c r="L370" s="54"/>
      <x:c r="M370" s="63"/>
    </x:row>
    <x:row r="371">
      <x:c r="A371" s="54"/>
      <x:c r="B371" s="60"/>
      <x:c r="C371" s="54"/>
      <x:c r="D371" s="57" t="str">
        <x:f>IF($C371="","",IFERROR(VLOOKUP($C371,'Leads'!$A$6:$C$505,3,FALSE),"Lead ID not found"))</x:f>
      </x:c>
      <x:c r="E371" s="54"/>
      <x:c r="F371" s="54"/>
      <x:c r="G371" s="63"/>
      <x:c r="H371" s="54"/>
      <x:c r="I371" s="60"/>
      <x:c r="J371" s="54"/>
      <x:c r="K371" s="54"/>
      <x:c r="L371" s="54"/>
      <x:c r="M371" s="63"/>
    </x:row>
    <x:row r="372">
      <x:c r="A372" s="54"/>
      <x:c r="B372" s="60"/>
      <x:c r="C372" s="54"/>
      <x:c r="D372" s="57" t="str">
        <x:f>IF($C372="","",IFERROR(VLOOKUP($C372,'Leads'!$A$6:$C$505,3,FALSE),"Lead ID not found"))</x:f>
      </x:c>
      <x:c r="E372" s="54"/>
      <x:c r="F372" s="54"/>
      <x:c r="G372" s="63"/>
      <x:c r="H372" s="54"/>
      <x:c r="I372" s="60"/>
      <x:c r="J372" s="54"/>
      <x:c r="K372" s="54"/>
      <x:c r="L372" s="54"/>
      <x:c r="M372" s="63"/>
    </x:row>
    <x:row r="373">
      <x:c r="A373" s="54"/>
      <x:c r="B373" s="60"/>
      <x:c r="C373" s="54"/>
      <x:c r="D373" s="57" t="str">
        <x:f>IF($C373="","",IFERROR(VLOOKUP($C373,'Leads'!$A$6:$C$505,3,FALSE),"Lead ID not found"))</x:f>
      </x:c>
      <x:c r="E373" s="54"/>
      <x:c r="F373" s="54"/>
      <x:c r="G373" s="63"/>
      <x:c r="H373" s="54"/>
      <x:c r="I373" s="60"/>
      <x:c r="J373" s="54"/>
      <x:c r="K373" s="54"/>
      <x:c r="L373" s="54"/>
      <x:c r="M373" s="63"/>
    </x:row>
    <x:row r="374">
      <x:c r="A374" s="54"/>
      <x:c r="B374" s="60"/>
      <x:c r="C374" s="54"/>
      <x:c r="D374" s="57" t="str">
        <x:f>IF($C374="","",IFERROR(VLOOKUP($C374,'Leads'!$A$6:$C$505,3,FALSE),"Lead ID not found"))</x:f>
      </x:c>
      <x:c r="E374" s="54"/>
      <x:c r="F374" s="54"/>
      <x:c r="G374" s="63"/>
      <x:c r="H374" s="54"/>
      <x:c r="I374" s="60"/>
      <x:c r="J374" s="54"/>
      <x:c r="K374" s="54"/>
      <x:c r="L374" s="54"/>
      <x:c r="M374" s="63"/>
    </x:row>
    <x:row r="375">
      <x:c r="A375" s="54"/>
      <x:c r="B375" s="60"/>
      <x:c r="C375" s="54"/>
      <x:c r="D375" s="57" t="str">
        <x:f>IF($C375="","",IFERROR(VLOOKUP($C375,'Leads'!$A$6:$C$505,3,FALSE),"Lead ID not found"))</x:f>
      </x:c>
      <x:c r="E375" s="54"/>
      <x:c r="F375" s="54"/>
      <x:c r="G375" s="63"/>
      <x:c r="H375" s="54"/>
      <x:c r="I375" s="60"/>
      <x:c r="J375" s="54"/>
      <x:c r="K375" s="54"/>
      <x:c r="L375" s="54"/>
      <x:c r="M375" s="63"/>
    </x:row>
    <x:row r="376">
      <x:c r="A376" s="54"/>
      <x:c r="B376" s="60"/>
      <x:c r="C376" s="54"/>
      <x:c r="D376" s="57" t="str">
        <x:f>IF($C376="","",IFERROR(VLOOKUP($C376,'Leads'!$A$6:$C$505,3,FALSE),"Lead ID not found"))</x:f>
      </x:c>
      <x:c r="E376" s="54"/>
      <x:c r="F376" s="54"/>
      <x:c r="G376" s="63"/>
      <x:c r="H376" s="54"/>
      <x:c r="I376" s="60"/>
      <x:c r="J376" s="54"/>
      <x:c r="K376" s="54"/>
      <x:c r="L376" s="54"/>
      <x:c r="M376" s="63"/>
    </x:row>
    <x:row r="377">
      <x:c r="A377" s="54"/>
      <x:c r="B377" s="60"/>
      <x:c r="C377" s="54"/>
      <x:c r="D377" s="57" t="str">
        <x:f>IF($C377="","",IFERROR(VLOOKUP($C377,'Leads'!$A$6:$C$505,3,FALSE),"Lead ID not found"))</x:f>
      </x:c>
      <x:c r="E377" s="54"/>
      <x:c r="F377" s="54"/>
      <x:c r="G377" s="63"/>
      <x:c r="H377" s="54"/>
      <x:c r="I377" s="60"/>
      <x:c r="J377" s="54"/>
      <x:c r="K377" s="54"/>
      <x:c r="L377" s="54"/>
      <x:c r="M377" s="63"/>
    </x:row>
    <x:row r="378">
      <x:c r="A378" s="54"/>
      <x:c r="B378" s="60"/>
      <x:c r="C378" s="54"/>
      <x:c r="D378" s="57" t="str">
        <x:f>IF($C378="","",IFERROR(VLOOKUP($C378,'Leads'!$A$6:$C$505,3,FALSE),"Lead ID not found"))</x:f>
      </x:c>
      <x:c r="E378" s="54"/>
      <x:c r="F378" s="54"/>
      <x:c r="G378" s="63"/>
      <x:c r="H378" s="54"/>
      <x:c r="I378" s="60"/>
      <x:c r="J378" s="54"/>
      <x:c r="K378" s="54"/>
      <x:c r="L378" s="54"/>
      <x:c r="M378" s="63"/>
    </x:row>
    <x:row r="379">
      <x:c r="A379" s="54"/>
      <x:c r="B379" s="60"/>
      <x:c r="C379" s="54"/>
      <x:c r="D379" s="57" t="str">
        <x:f>IF($C379="","",IFERROR(VLOOKUP($C379,'Leads'!$A$6:$C$505,3,FALSE),"Lead ID not found"))</x:f>
      </x:c>
      <x:c r="E379" s="54"/>
      <x:c r="F379" s="54"/>
      <x:c r="G379" s="63"/>
      <x:c r="H379" s="54"/>
      <x:c r="I379" s="60"/>
      <x:c r="J379" s="54"/>
      <x:c r="K379" s="54"/>
      <x:c r="L379" s="54"/>
      <x:c r="M379" s="63"/>
    </x:row>
    <x:row r="380">
      <x:c r="A380" s="54"/>
      <x:c r="B380" s="60"/>
      <x:c r="C380" s="54"/>
      <x:c r="D380" s="57" t="str">
        <x:f>IF($C380="","",IFERROR(VLOOKUP($C380,'Leads'!$A$6:$C$505,3,FALSE),"Lead ID not found"))</x:f>
      </x:c>
      <x:c r="E380" s="54"/>
      <x:c r="F380" s="54"/>
      <x:c r="G380" s="63"/>
      <x:c r="H380" s="54"/>
      <x:c r="I380" s="60"/>
      <x:c r="J380" s="54"/>
      <x:c r="K380" s="54"/>
      <x:c r="L380" s="54"/>
      <x:c r="M380" s="63"/>
    </x:row>
    <x:row r="381">
      <x:c r="A381" s="54"/>
      <x:c r="B381" s="60"/>
      <x:c r="C381" s="54"/>
      <x:c r="D381" s="57" t="str">
        <x:f>IF($C381="","",IFERROR(VLOOKUP($C381,'Leads'!$A$6:$C$505,3,FALSE),"Lead ID not found"))</x:f>
      </x:c>
      <x:c r="E381" s="54"/>
      <x:c r="F381" s="54"/>
      <x:c r="G381" s="63"/>
      <x:c r="H381" s="54"/>
      <x:c r="I381" s="60"/>
      <x:c r="J381" s="54"/>
      <x:c r="K381" s="54"/>
      <x:c r="L381" s="54"/>
      <x:c r="M381" s="63"/>
    </x:row>
    <x:row r="382">
      <x:c r="A382" s="54"/>
      <x:c r="B382" s="60"/>
      <x:c r="C382" s="54"/>
      <x:c r="D382" s="57" t="str">
        <x:f>IF($C382="","",IFERROR(VLOOKUP($C382,'Leads'!$A$6:$C$505,3,FALSE),"Lead ID not found"))</x:f>
      </x:c>
      <x:c r="E382" s="54"/>
      <x:c r="F382" s="54"/>
      <x:c r="G382" s="63"/>
      <x:c r="H382" s="54"/>
      <x:c r="I382" s="60"/>
      <x:c r="J382" s="54"/>
      <x:c r="K382" s="54"/>
      <x:c r="L382" s="54"/>
      <x:c r="M382" s="63"/>
    </x:row>
    <x:row r="383">
      <x:c r="A383" s="54"/>
      <x:c r="B383" s="60"/>
      <x:c r="C383" s="54"/>
      <x:c r="D383" s="57" t="str">
        <x:f>IF($C383="","",IFERROR(VLOOKUP($C383,'Leads'!$A$6:$C$505,3,FALSE),"Lead ID not found"))</x:f>
      </x:c>
      <x:c r="E383" s="54"/>
      <x:c r="F383" s="54"/>
      <x:c r="G383" s="63"/>
      <x:c r="H383" s="54"/>
      <x:c r="I383" s="60"/>
      <x:c r="J383" s="54"/>
      <x:c r="K383" s="54"/>
      <x:c r="L383" s="54"/>
      <x:c r="M383" s="63"/>
    </x:row>
    <x:row r="384">
      <x:c r="A384" s="54"/>
      <x:c r="B384" s="60"/>
      <x:c r="C384" s="54"/>
      <x:c r="D384" s="57" t="str">
        <x:f>IF($C384="","",IFERROR(VLOOKUP($C384,'Leads'!$A$6:$C$505,3,FALSE),"Lead ID not found"))</x:f>
      </x:c>
      <x:c r="E384" s="54"/>
      <x:c r="F384" s="54"/>
      <x:c r="G384" s="63"/>
      <x:c r="H384" s="54"/>
      <x:c r="I384" s="60"/>
      <x:c r="J384" s="54"/>
      <x:c r="K384" s="54"/>
      <x:c r="L384" s="54"/>
      <x:c r="M384" s="63"/>
    </x:row>
    <x:row r="385">
      <x:c r="A385" s="54"/>
      <x:c r="B385" s="60"/>
      <x:c r="C385" s="54"/>
      <x:c r="D385" s="57" t="str">
        <x:f>IF($C385="","",IFERROR(VLOOKUP($C385,'Leads'!$A$6:$C$505,3,FALSE),"Lead ID not found"))</x:f>
      </x:c>
      <x:c r="E385" s="54"/>
      <x:c r="F385" s="54"/>
      <x:c r="G385" s="63"/>
      <x:c r="H385" s="54"/>
      <x:c r="I385" s="60"/>
      <x:c r="J385" s="54"/>
      <x:c r="K385" s="54"/>
      <x:c r="L385" s="54"/>
      <x:c r="M385" s="63"/>
    </x:row>
    <x:row r="386">
      <x:c r="A386" s="54"/>
      <x:c r="B386" s="60"/>
      <x:c r="C386" s="54"/>
      <x:c r="D386" s="57" t="str">
        <x:f>IF($C386="","",IFERROR(VLOOKUP($C386,'Leads'!$A$6:$C$505,3,FALSE),"Lead ID not found"))</x:f>
      </x:c>
      <x:c r="E386" s="54"/>
      <x:c r="F386" s="54"/>
      <x:c r="G386" s="63"/>
      <x:c r="H386" s="54"/>
      <x:c r="I386" s="60"/>
      <x:c r="J386" s="54"/>
      <x:c r="K386" s="54"/>
      <x:c r="L386" s="54"/>
      <x:c r="M386" s="63"/>
    </x:row>
    <x:row r="387">
      <x:c r="A387" s="54"/>
      <x:c r="B387" s="60"/>
      <x:c r="C387" s="54"/>
      <x:c r="D387" s="57" t="str">
        <x:f>IF($C387="","",IFERROR(VLOOKUP($C387,'Leads'!$A$6:$C$505,3,FALSE),"Lead ID not found"))</x:f>
      </x:c>
      <x:c r="E387" s="54"/>
      <x:c r="F387" s="54"/>
      <x:c r="G387" s="63"/>
      <x:c r="H387" s="54"/>
      <x:c r="I387" s="60"/>
      <x:c r="J387" s="54"/>
      <x:c r="K387" s="54"/>
      <x:c r="L387" s="54"/>
      <x:c r="M387" s="63"/>
    </x:row>
    <x:row r="388">
      <x:c r="A388" s="54"/>
      <x:c r="B388" s="60"/>
      <x:c r="C388" s="54"/>
      <x:c r="D388" s="57" t="str">
        <x:f>IF($C388="","",IFERROR(VLOOKUP($C388,'Leads'!$A$6:$C$505,3,FALSE),"Lead ID not found"))</x:f>
      </x:c>
      <x:c r="E388" s="54"/>
      <x:c r="F388" s="54"/>
      <x:c r="G388" s="63"/>
      <x:c r="H388" s="54"/>
      <x:c r="I388" s="60"/>
      <x:c r="J388" s="54"/>
      <x:c r="K388" s="54"/>
      <x:c r="L388" s="54"/>
      <x:c r="M388" s="63"/>
    </x:row>
    <x:row r="389">
      <x:c r="A389" s="54"/>
      <x:c r="B389" s="60"/>
      <x:c r="C389" s="54"/>
      <x:c r="D389" s="57" t="str">
        <x:f>IF($C389="","",IFERROR(VLOOKUP($C389,'Leads'!$A$6:$C$505,3,FALSE),"Lead ID not found"))</x:f>
      </x:c>
      <x:c r="E389" s="54"/>
      <x:c r="F389" s="54"/>
      <x:c r="G389" s="63"/>
      <x:c r="H389" s="54"/>
      <x:c r="I389" s="60"/>
      <x:c r="J389" s="54"/>
      <x:c r="K389" s="54"/>
      <x:c r="L389" s="54"/>
      <x:c r="M389" s="63"/>
    </x:row>
    <x:row r="390">
      <x:c r="A390" s="54"/>
      <x:c r="B390" s="60"/>
      <x:c r="C390" s="54"/>
      <x:c r="D390" s="57" t="str">
        <x:f>IF($C390="","",IFERROR(VLOOKUP($C390,'Leads'!$A$6:$C$505,3,FALSE),"Lead ID not found"))</x:f>
      </x:c>
      <x:c r="E390" s="54"/>
      <x:c r="F390" s="54"/>
      <x:c r="G390" s="63"/>
      <x:c r="H390" s="54"/>
      <x:c r="I390" s="60"/>
      <x:c r="J390" s="54"/>
      <x:c r="K390" s="54"/>
      <x:c r="L390" s="54"/>
      <x:c r="M390" s="63"/>
    </x:row>
    <x:row r="391">
      <x:c r="A391" s="54"/>
      <x:c r="B391" s="60"/>
      <x:c r="C391" s="54"/>
      <x:c r="D391" s="57" t="str">
        <x:f>IF($C391="","",IFERROR(VLOOKUP($C391,'Leads'!$A$6:$C$505,3,FALSE),"Lead ID not found"))</x:f>
      </x:c>
      <x:c r="E391" s="54"/>
      <x:c r="F391" s="54"/>
      <x:c r="G391" s="63"/>
      <x:c r="H391" s="54"/>
      <x:c r="I391" s="60"/>
      <x:c r="J391" s="54"/>
      <x:c r="K391" s="54"/>
      <x:c r="L391" s="54"/>
      <x:c r="M391" s="63"/>
    </x:row>
    <x:row r="392">
      <x:c r="A392" s="54"/>
      <x:c r="B392" s="60"/>
      <x:c r="C392" s="54"/>
      <x:c r="D392" s="57" t="str">
        <x:f>IF($C392="","",IFERROR(VLOOKUP($C392,'Leads'!$A$6:$C$505,3,FALSE),"Lead ID not found"))</x:f>
      </x:c>
      <x:c r="E392" s="54"/>
      <x:c r="F392" s="54"/>
      <x:c r="G392" s="63"/>
      <x:c r="H392" s="54"/>
      <x:c r="I392" s="60"/>
      <x:c r="J392" s="54"/>
      <x:c r="K392" s="54"/>
      <x:c r="L392" s="54"/>
      <x:c r="M392" s="63"/>
    </x:row>
    <x:row r="393">
      <x:c r="A393" s="54"/>
      <x:c r="B393" s="60"/>
      <x:c r="C393" s="54"/>
      <x:c r="D393" s="57" t="str">
        <x:f>IF($C393="","",IFERROR(VLOOKUP($C393,'Leads'!$A$6:$C$505,3,FALSE),"Lead ID not found"))</x:f>
      </x:c>
      <x:c r="E393" s="54"/>
      <x:c r="F393" s="54"/>
      <x:c r="G393" s="63"/>
      <x:c r="H393" s="54"/>
      <x:c r="I393" s="60"/>
      <x:c r="J393" s="54"/>
      <x:c r="K393" s="54"/>
      <x:c r="L393" s="54"/>
      <x:c r="M393" s="63"/>
    </x:row>
    <x:row r="394">
      <x:c r="A394" s="54"/>
      <x:c r="B394" s="60"/>
      <x:c r="C394" s="54"/>
      <x:c r="D394" s="57" t="str">
        <x:f>IF($C394="","",IFERROR(VLOOKUP($C394,'Leads'!$A$6:$C$505,3,FALSE),"Lead ID not found"))</x:f>
      </x:c>
      <x:c r="E394" s="54"/>
      <x:c r="F394" s="54"/>
      <x:c r="G394" s="63"/>
      <x:c r="H394" s="54"/>
      <x:c r="I394" s="60"/>
      <x:c r="J394" s="54"/>
      <x:c r="K394" s="54"/>
      <x:c r="L394" s="54"/>
      <x:c r="M394" s="63"/>
    </x:row>
    <x:row r="395">
      <x:c r="A395" s="54"/>
      <x:c r="B395" s="60"/>
      <x:c r="C395" s="54"/>
      <x:c r="D395" s="57" t="str">
        <x:f>IF($C395="","",IFERROR(VLOOKUP($C395,'Leads'!$A$6:$C$505,3,FALSE),"Lead ID not found"))</x:f>
      </x:c>
      <x:c r="E395" s="54"/>
      <x:c r="F395" s="54"/>
      <x:c r="G395" s="63"/>
      <x:c r="H395" s="54"/>
      <x:c r="I395" s="60"/>
      <x:c r="J395" s="54"/>
      <x:c r="K395" s="54"/>
      <x:c r="L395" s="54"/>
      <x:c r="M395" s="63"/>
    </x:row>
    <x:row r="396">
      <x:c r="A396" s="54"/>
      <x:c r="B396" s="60"/>
      <x:c r="C396" s="54"/>
      <x:c r="D396" s="57" t="str">
        <x:f>IF($C396="","",IFERROR(VLOOKUP($C396,'Leads'!$A$6:$C$505,3,FALSE),"Lead ID not found"))</x:f>
      </x:c>
      <x:c r="E396" s="54"/>
      <x:c r="F396" s="54"/>
      <x:c r="G396" s="63"/>
      <x:c r="H396" s="54"/>
      <x:c r="I396" s="60"/>
      <x:c r="J396" s="54"/>
      <x:c r="K396" s="54"/>
      <x:c r="L396" s="54"/>
      <x:c r="M396" s="63"/>
    </x:row>
    <x:row r="397">
      <x:c r="A397" s="54"/>
      <x:c r="B397" s="60"/>
      <x:c r="C397" s="54"/>
      <x:c r="D397" s="57" t="str">
        <x:f>IF($C397="","",IFERROR(VLOOKUP($C397,'Leads'!$A$6:$C$505,3,FALSE),"Lead ID not found"))</x:f>
      </x:c>
      <x:c r="E397" s="54"/>
      <x:c r="F397" s="54"/>
      <x:c r="G397" s="63"/>
      <x:c r="H397" s="54"/>
      <x:c r="I397" s="60"/>
      <x:c r="J397" s="54"/>
      <x:c r="K397" s="54"/>
      <x:c r="L397" s="54"/>
      <x:c r="M397" s="63"/>
    </x:row>
    <x:row r="398">
      <x:c r="A398" s="54"/>
      <x:c r="B398" s="60"/>
      <x:c r="C398" s="54"/>
      <x:c r="D398" s="57" t="str">
        <x:f>IF($C398="","",IFERROR(VLOOKUP($C398,'Leads'!$A$6:$C$505,3,FALSE),"Lead ID not found"))</x:f>
      </x:c>
      <x:c r="E398" s="54"/>
      <x:c r="F398" s="54"/>
      <x:c r="G398" s="63"/>
      <x:c r="H398" s="54"/>
      <x:c r="I398" s="60"/>
      <x:c r="J398" s="54"/>
      <x:c r="K398" s="54"/>
      <x:c r="L398" s="54"/>
      <x:c r="M398" s="63"/>
    </x:row>
    <x:row r="399">
      <x:c r="A399" s="54"/>
      <x:c r="B399" s="60"/>
      <x:c r="C399" s="54"/>
      <x:c r="D399" s="57" t="str">
        <x:f>IF($C399="","",IFERROR(VLOOKUP($C399,'Leads'!$A$6:$C$505,3,FALSE),"Lead ID not found"))</x:f>
      </x:c>
      <x:c r="E399" s="54"/>
      <x:c r="F399" s="54"/>
      <x:c r="G399" s="63"/>
      <x:c r="H399" s="54"/>
      <x:c r="I399" s="60"/>
      <x:c r="J399" s="54"/>
      <x:c r="K399" s="54"/>
      <x:c r="L399" s="54"/>
      <x:c r="M399" s="63"/>
    </x:row>
    <x:row r="400">
      <x:c r="A400" s="54"/>
      <x:c r="B400" s="60"/>
      <x:c r="C400" s="54"/>
      <x:c r="D400" s="57" t="str">
        <x:f>IF($C400="","",IFERROR(VLOOKUP($C400,'Leads'!$A$6:$C$505,3,FALSE),"Lead ID not found"))</x:f>
      </x:c>
      <x:c r="E400" s="54"/>
      <x:c r="F400" s="54"/>
      <x:c r="G400" s="63"/>
      <x:c r="H400" s="54"/>
      <x:c r="I400" s="60"/>
      <x:c r="J400" s="54"/>
      <x:c r="K400" s="54"/>
      <x:c r="L400" s="54"/>
      <x:c r="M400" s="63"/>
    </x:row>
    <x:row r="401">
      <x:c r="A401" s="54"/>
      <x:c r="B401" s="60"/>
      <x:c r="C401" s="54"/>
      <x:c r="D401" s="57" t="str">
        <x:f>IF($C401="","",IFERROR(VLOOKUP($C401,'Leads'!$A$6:$C$505,3,FALSE),"Lead ID not found"))</x:f>
      </x:c>
      <x:c r="E401" s="54"/>
      <x:c r="F401" s="54"/>
      <x:c r="G401" s="63"/>
      <x:c r="H401" s="54"/>
      <x:c r="I401" s="60"/>
      <x:c r="J401" s="54"/>
      <x:c r="K401" s="54"/>
      <x:c r="L401" s="54"/>
      <x:c r="M401" s="63"/>
    </x:row>
    <x:row r="402">
      <x:c r="A402" s="54"/>
      <x:c r="B402" s="60"/>
      <x:c r="C402" s="54"/>
      <x:c r="D402" s="57" t="str">
        <x:f>IF($C402="","",IFERROR(VLOOKUP($C402,'Leads'!$A$6:$C$505,3,FALSE),"Lead ID not found"))</x:f>
      </x:c>
      <x:c r="E402" s="54"/>
      <x:c r="F402" s="54"/>
      <x:c r="G402" s="63"/>
      <x:c r="H402" s="54"/>
      <x:c r="I402" s="60"/>
      <x:c r="J402" s="54"/>
      <x:c r="K402" s="54"/>
      <x:c r="L402" s="54"/>
      <x:c r="M402" s="63"/>
    </x:row>
    <x:row r="403">
      <x:c r="A403" s="54"/>
      <x:c r="B403" s="60"/>
      <x:c r="C403" s="54"/>
      <x:c r="D403" s="57" t="str">
        <x:f>IF($C403="","",IFERROR(VLOOKUP($C403,'Leads'!$A$6:$C$505,3,FALSE),"Lead ID not found"))</x:f>
      </x:c>
      <x:c r="E403" s="54"/>
      <x:c r="F403" s="54"/>
      <x:c r="G403" s="63"/>
      <x:c r="H403" s="54"/>
      <x:c r="I403" s="60"/>
      <x:c r="J403" s="54"/>
      <x:c r="K403" s="54"/>
      <x:c r="L403" s="54"/>
      <x:c r="M403" s="63"/>
    </x:row>
    <x:row r="404">
      <x:c r="A404" s="54"/>
      <x:c r="B404" s="60"/>
      <x:c r="C404" s="54"/>
      <x:c r="D404" s="57" t="str">
        <x:f>IF($C404="","",IFERROR(VLOOKUP($C404,'Leads'!$A$6:$C$505,3,FALSE),"Lead ID not found"))</x:f>
      </x:c>
      <x:c r="E404" s="54"/>
      <x:c r="F404" s="54"/>
      <x:c r="G404" s="63"/>
      <x:c r="H404" s="54"/>
      <x:c r="I404" s="60"/>
      <x:c r="J404" s="54"/>
      <x:c r="K404" s="54"/>
      <x:c r="L404" s="54"/>
      <x:c r="M404" s="63"/>
    </x:row>
    <x:row r="405">
      <x:c r="A405" s="54"/>
      <x:c r="B405" s="60"/>
      <x:c r="C405" s="54"/>
      <x:c r="D405" s="57" t="str">
        <x:f>IF($C405="","",IFERROR(VLOOKUP($C405,'Leads'!$A$6:$C$505,3,FALSE),"Lead ID not found"))</x:f>
      </x:c>
      <x:c r="E405" s="54"/>
      <x:c r="F405" s="54"/>
      <x:c r="G405" s="63"/>
      <x:c r="H405" s="54"/>
      <x:c r="I405" s="60"/>
      <x:c r="J405" s="54"/>
      <x:c r="K405" s="54"/>
      <x:c r="L405" s="54"/>
      <x:c r="M405" s="63"/>
    </x:row>
    <x:row r="406">
      <x:c r="A406" s="54"/>
      <x:c r="B406" s="60"/>
      <x:c r="C406" s="54"/>
      <x:c r="D406" s="57" t="str">
        <x:f>IF($C406="","",IFERROR(VLOOKUP($C406,'Leads'!$A$6:$C$505,3,FALSE),"Lead ID not found"))</x:f>
      </x:c>
      <x:c r="E406" s="54"/>
      <x:c r="F406" s="54"/>
      <x:c r="G406" s="63"/>
      <x:c r="H406" s="54"/>
      <x:c r="I406" s="60"/>
      <x:c r="J406" s="54"/>
      <x:c r="K406" s="54"/>
      <x:c r="L406" s="54"/>
      <x:c r="M406" s="63"/>
    </x:row>
    <x:row r="407">
      <x:c r="A407" s="54"/>
      <x:c r="B407" s="60"/>
      <x:c r="C407" s="54"/>
      <x:c r="D407" s="57" t="str">
        <x:f>IF($C407="","",IFERROR(VLOOKUP($C407,'Leads'!$A$6:$C$505,3,FALSE),"Lead ID not found"))</x:f>
      </x:c>
      <x:c r="E407" s="54"/>
      <x:c r="F407" s="54"/>
      <x:c r="G407" s="63"/>
      <x:c r="H407" s="54"/>
      <x:c r="I407" s="60"/>
      <x:c r="J407" s="54"/>
      <x:c r="K407" s="54"/>
      <x:c r="L407" s="54"/>
      <x:c r="M407" s="63"/>
    </x:row>
    <x:row r="408">
      <x:c r="A408" s="54"/>
      <x:c r="B408" s="60"/>
      <x:c r="C408" s="54"/>
      <x:c r="D408" s="57" t="str">
        <x:f>IF($C408="","",IFERROR(VLOOKUP($C408,'Leads'!$A$6:$C$505,3,FALSE),"Lead ID not found"))</x:f>
      </x:c>
      <x:c r="E408" s="54"/>
      <x:c r="F408" s="54"/>
      <x:c r="G408" s="63"/>
      <x:c r="H408" s="54"/>
      <x:c r="I408" s="60"/>
      <x:c r="J408" s="54"/>
      <x:c r="K408" s="54"/>
      <x:c r="L408" s="54"/>
      <x:c r="M408" s="63"/>
    </x:row>
    <x:row r="409">
      <x:c r="A409" s="54"/>
      <x:c r="B409" s="60"/>
      <x:c r="C409" s="54"/>
      <x:c r="D409" s="57" t="str">
        <x:f>IF($C409="","",IFERROR(VLOOKUP($C409,'Leads'!$A$6:$C$505,3,FALSE),"Lead ID not found"))</x:f>
      </x:c>
      <x:c r="E409" s="54"/>
      <x:c r="F409" s="54"/>
      <x:c r="G409" s="63"/>
      <x:c r="H409" s="54"/>
      <x:c r="I409" s="60"/>
      <x:c r="J409" s="54"/>
      <x:c r="K409" s="54"/>
      <x:c r="L409" s="54"/>
      <x:c r="M409" s="63"/>
    </x:row>
    <x:row r="410">
      <x:c r="A410" s="54"/>
      <x:c r="B410" s="60"/>
      <x:c r="C410" s="54"/>
      <x:c r="D410" s="57" t="str">
        <x:f>IF($C410="","",IFERROR(VLOOKUP($C410,'Leads'!$A$6:$C$505,3,FALSE),"Lead ID not found"))</x:f>
      </x:c>
      <x:c r="E410" s="54"/>
      <x:c r="F410" s="54"/>
      <x:c r="G410" s="63"/>
      <x:c r="H410" s="54"/>
      <x:c r="I410" s="60"/>
      <x:c r="J410" s="54"/>
      <x:c r="K410" s="54"/>
      <x:c r="L410" s="54"/>
      <x:c r="M410" s="63"/>
    </x:row>
    <x:row r="411">
      <x:c r="A411" s="54"/>
      <x:c r="B411" s="60"/>
      <x:c r="C411" s="54"/>
      <x:c r="D411" s="57" t="str">
        <x:f>IF($C411="","",IFERROR(VLOOKUP($C411,'Leads'!$A$6:$C$505,3,FALSE),"Lead ID not found"))</x:f>
      </x:c>
      <x:c r="E411" s="54"/>
      <x:c r="F411" s="54"/>
      <x:c r="G411" s="63"/>
      <x:c r="H411" s="54"/>
      <x:c r="I411" s="60"/>
      <x:c r="J411" s="54"/>
      <x:c r="K411" s="54"/>
      <x:c r="L411" s="54"/>
      <x:c r="M411" s="63"/>
    </x:row>
    <x:row r="412">
      <x:c r="A412" s="54"/>
      <x:c r="B412" s="60"/>
      <x:c r="C412" s="54"/>
      <x:c r="D412" s="57" t="str">
        <x:f>IF($C412="","",IFERROR(VLOOKUP($C412,'Leads'!$A$6:$C$505,3,FALSE),"Lead ID not found"))</x:f>
      </x:c>
      <x:c r="E412" s="54"/>
      <x:c r="F412" s="54"/>
      <x:c r="G412" s="63"/>
      <x:c r="H412" s="54"/>
      <x:c r="I412" s="60"/>
      <x:c r="J412" s="54"/>
      <x:c r="K412" s="54"/>
      <x:c r="L412" s="54"/>
      <x:c r="M412" s="63"/>
    </x:row>
    <x:row r="413">
      <x:c r="A413" s="54"/>
      <x:c r="B413" s="60"/>
      <x:c r="C413" s="54"/>
      <x:c r="D413" s="57" t="str">
        <x:f>IF($C413="","",IFERROR(VLOOKUP($C413,'Leads'!$A$6:$C$505,3,FALSE),"Lead ID not found"))</x:f>
      </x:c>
      <x:c r="E413" s="54"/>
      <x:c r="F413" s="54"/>
      <x:c r="G413" s="63"/>
      <x:c r="H413" s="54"/>
      <x:c r="I413" s="60"/>
      <x:c r="J413" s="54"/>
      <x:c r="K413" s="54"/>
      <x:c r="L413" s="54"/>
      <x:c r="M413" s="63"/>
    </x:row>
    <x:row r="414">
      <x:c r="A414" s="54"/>
      <x:c r="B414" s="60"/>
      <x:c r="C414" s="54"/>
      <x:c r="D414" s="57" t="str">
        <x:f>IF($C414="","",IFERROR(VLOOKUP($C414,'Leads'!$A$6:$C$505,3,FALSE),"Lead ID not found"))</x:f>
      </x:c>
      <x:c r="E414" s="54"/>
      <x:c r="F414" s="54"/>
      <x:c r="G414" s="63"/>
      <x:c r="H414" s="54"/>
      <x:c r="I414" s="60"/>
      <x:c r="J414" s="54"/>
      <x:c r="K414" s="54"/>
      <x:c r="L414" s="54"/>
      <x:c r="M414" s="63"/>
    </x:row>
    <x:row r="415">
      <x:c r="A415" s="54"/>
      <x:c r="B415" s="60"/>
      <x:c r="C415" s="54"/>
      <x:c r="D415" s="57" t="str">
        <x:f>IF($C415="","",IFERROR(VLOOKUP($C415,'Leads'!$A$6:$C$505,3,FALSE),"Lead ID not found"))</x:f>
      </x:c>
      <x:c r="E415" s="54"/>
      <x:c r="F415" s="54"/>
      <x:c r="G415" s="63"/>
      <x:c r="H415" s="54"/>
      <x:c r="I415" s="60"/>
      <x:c r="J415" s="54"/>
      <x:c r="K415" s="54"/>
      <x:c r="L415" s="54"/>
      <x:c r="M415" s="63"/>
    </x:row>
    <x:row r="416">
      <x:c r="A416" s="54"/>
      <x:c r="B416" s="60"/>
      <x:c r="C416" s="54"/>
      <x:c r="D416" s="57" t="str">
        <x:f>IF($C416="","",IFERROR(VLOOKUP($C416,'Leads'!$A$6:$C$505,3,FALSE),"Lead ID not found"))</x:f>
      </x:c>
      <x:c r="E416" s="54"/>
      <x:c r="F416" s="54"/>
      <x:c r="G416" s="63"/>
      <x:c r="H416" s="54"/>
      <x:c r="I416" s="60"/>
      <x:c r="J416" s="54"/>
      <x:c r="K416" s="54"/>
      <x:c r="L416" s="54"/>
      <x:c r="M416" s="63"/>
    </x:row>
    <x:row r="417">
      <x:c r="A417" s="54"/>
      <x:c r="B417" s="60"/>
      <x:c r="C417" s="54"/>
      <x:c r="D417" s="57" t="str">
        <x:f>IF($C417="","",IFERROR(VLOOKUP($C417,'Leads'!$A$6:$C$505,3,FALSE),"Lead ID not found"))</x:f>
      </x:c>
      <x:c r="E417" s="54"/>
      <x:c r="F417" s="54"/>
      <x:c r="G417" s="63"/>
      <x:c r="H417" s="54"/>
      <x:c r="I417" s="60"/>
      <x:c r="J417" s="54"/>
      <x:c r="K417" s="54"/>
      <x:c r="L417" s="54"/>
      <x:c r="M417" s="63"/>
    </x:row>
    <x:row r="418">
      <x:c r="A418" s="54"/>
      <x:c r="B418" s="60"/>
      <x:c r="C418" s="54"/>
      <x:c r="D418" s="57" t="str">
        <x:f>IF($C418="","",IFERROR(VLOOKUP($C418,'Leads'!$A$6:$C$505,3,FALSE),"Lead ID not found"))</x:f>
      </x:c>
      <x:c r="E418" s="54"/>
      <x:c r="F418" s="54"/>
      <x:c r="G418" s="63"/>
      <x:c r="H418" s="54"/>
      <x:c r="I418" s="60"/>
      <x:c r="J418" s="54"/>
      <x:c r="K418" s="54"/>
      <x:c r="L418" s="54"/>
      <x:c r="M418" s="63"/>
    </x:row>
    <x:row r="419">
      <x:c r="A419" s="54"/>
      <x:c r="B419" s="60"/>
      <x:c r="C419" s="54"/>
      <x:c r="D419" s="57" t="str">
        <x:f>IF($C419="","",IFERROR(VLOOKUP($C419,'Leads'!$A$6:$C$505,3,FALSE),"Lead ID not found"))</x:f>
      </x:c>
      <x:c r="E419" s="54"/>
      <x:c r="F419" s="54"/>
      <x:c r="G419" s="63"/>
      <x:c r="H419" s="54"/>
      <x:c r="I419" s="60"/>
      <x:c r="J419" s="54"/>
      <x:c r="K419" s="54"/>
      <x:c r="L419" s="54"/>
      <x:c r="M419" s="63"/>
    </x:row>
    <x:row r="420">
      <x:c r="A420" s="54"/>
      <x:c r="B420" s="60"/>
      <x:c r="C420" s="54"/>
      <x:c r="D420" s="57" t="str">
        <x:f>IF($C420="","",IFERROR(VLOOKUP($C420,'Leads'!$A$6:$C$505,3,FALSE),"Lead ID not found"))</x:f>
      </x:c>
      <x:c r="E420" s="54"/>
      <x:c r="F420" s="54"/>
      <x:c r="G420" s="63"/>
      <x:c r="H420" s="54"/>
      <x:c r="I420" s="60"/>
      <x:c r="J420" s="54"/>
      <x:c r="K420" s="54"/>
      <x:c r="L420" s="54"/>
      <x:c r="M420" s="63"/>
    </x:row>
    <x:row r="421">
      <x:c r="A421" s="54"/>
      <x:c r="B421" s="60"/>
      <x:c r="C421" s="54"/>
      <x:c r="D421" s="57" t="str">
        <x:f>IF($C421="","",IFERROR(VLOOKUP($C421,'Leads'!$A$6:$C$505,3,FALSE),"Lead ID not found"))</x:f>
      </x:c>
      <x:c r="E421" s="54"/>
      <x:c r="F421" s="54"/>
      <x:c r="G421" s="63"/>
      <x:c r="H421" s="54"/>
      <x:c r="I421" s="60"/>
      <x:c r="J421" s="54"/>
      <x:c r="K421" s="54"/>
      <x:c r="L421" s="54"/>
      <x:c r="M421" s="63"/>
    </x:row>
    <x:row r="422">
      <x:c r="A422" s="54"/>
      <x:c r="B422" s="60"/>
      <x:c r="C422" s="54"/>
      <x:c r="D422" s="57" t="str">
        <x:f>IF($C422="","",IFERROR(VLOOKUP($C422,'Leads'!$A$6:$C$505,3,FALSE),"Lead ID not found"))</x:f>
      </x:c>
      <x:c r="E422" s="54"/>
      <x:c r="F422" s="54"/>
      <x:c r="G422" s="63"/>
      <x:c r="H422" s="54"/>
      <x:c r="I422" s="60"/>
      <x:c r="J422" s="54"/>
      <x:c r="K422" s="54"/>
      <x:c r="L422" s="54"/>
      <x:c r="M422" s="63"/>
    </x:row>
    <x:row r="423">
      <x:c r="A423" s="54"/>
      <x:c r="B423" s="60"/>
      <x:c r="C423" s="54"/>
      <x:c r="D423" s="57" t="str">
        <x:f>IF($C423="","",IFERROR(VLOOKUP($C423,'Leads'!$A$6:$C$505,3,FALSE),"Lead ID not found"))</x:f>
      </x:c>
      <x:c r="E423" s="54"/>
      <x:c r="F423" s="54"/>
      <x:c r="G423" s="63"/>
      <x:c r="H423" s="54"/>
      <x:c r="I423" s="60"/>
      <x:c r="J423" s="54"/>
      <x:c r="K423" s="54"/>
      <x:c r="L423" s="54"/>
      <x:c r="M423" s="63"/>
    </x:row>
    <x:row r="424">
      <x:c r="A424" s="54"/>
      <x:c r="B424" s="60"/>
      <x:c r="C424" s="54"/>
      <x:c r="D424" s="57" t="str">
        <x:f>IF($C424="","",IFERROR(VLOOKUP($C424,'Leads'!$A$6:$C$505,3,FALSE),"Lead ID not found"))</x:f>
      </x:c>
      <x:c r="E424" s="54"/>
      <x:c r="F424" s="54"/>
      <x:c r="G424" s="63"/>
      <x:c r="H424" s="54"/>
      <x:c r="I424" s="60"/>
      <x:c r="J424" s="54"/>
      <x:c r="K424" s="54"/>
      <x:c r="L424" s="54"/>
      <x:c r="M424" s="63"/>
    </x:row>
    <x:row r="425">
      <x:c r="A425" s="54"/>
      <x:c r="B425" s="60"/>
      <x:c r="C425" s="54"/>
      <x:c r="D425" s="57" t="str">
        <x:f>IF($C425="","",IFERROR(VLOOKUP($C425,'Leads'!$A$6:$C$505,3,FALSE),"Lead ID not found"))</x:f>
      </x:c>
      <x:c r="E425" s="54"/>
      <x:c r="F425" s="54"/>
      <x:c r="G425" s="63"/>
      <x:c r="H425" s="54"/>
      <x:c r="I425" s="60"/>
      <x:c r="J425" s="54"/>
      <x:c r="K425" s="54"/>
      <x:c r="L425" s="54"/>
      <x:c r="M425" s="63"/>
    </x:row>
    <x:row r="426">
      <x:c r="A426" s="54"/>
      <x:c r="B426" s="60"/>
      <x:c r="C426" s="54"/>
      <x:c r="D426" s="57" t="str">
        <x:f>IF($C426="","",IFERROR(VLOOKUP($C426,'Leads'!$A$6:$C$505,3,FALSE),"Lead ID not found"))</x:f>
      </x:c>
      <x:c r="E426" s="54"/>
      <x:c r="F426" s="54"/>
      <x:c r="G426" s="63"/>
      <x:c r="H426" s="54"/>
      <x:c r="I426" s="60"/>
      <x:c r="J426" s="54"/>
      <x:c r="K426" s="54"/>
      <x:c r="L426" s="54"/>
      <x:c r="M426" s="63"/>
    </x:row>
    <x:row r="427">
      <x:c r="A427" s="54"/>
      <x:c r="B427" s="60"/>
      <x:c r="C427" s="54"/>
      <x:c r="D427" s="57" t="str">
        <x:f>IF($C427="","",IFERROR(VLOOKUP($C427,'Leads'!$A$6:$C$505,3,FALSE),"Lead ID not found"))</x:f>
      </x:c>
      <x:c r="E427" s="54"/>
      <x:c r="F427" s="54"/>
      <x:c r="G427" s="63"/>
      <x:c r="H427" s="54"/>
      <x:c r="I427" s="60"/>
      <x:c r="J427" s="54"/>
      <x:c r="K427" s="54"/>
      <x:c r="L427" s="54"/>
      <x:c r="M427" s="63"/>
    </x:row>
    <x:row r="428">
      <x:c r="A428" s="54"/>
      <x:c r="B428" s="60"/>
      <x:c r="C428" s="54"/>
      <x:c r="D428" s="57" t="str">
        <x:f>IF($C428="","",IFERROR(VLOOKUP($C428,'Leads'!$A$6:$C$505,3,FALSE),"Lead ID not found"))</x:f>
      </x:c>
      <x:c r="E428" s="54"/>
      <x:c r="F428" s="54"/>
      <x:c r="G428" s="63"/>
      <x:c r="H428" s="54"/>
      <x:c r="I428" s="60"/>
      <x:c r="J428" s="54"/>
      <x:c r="K428" s="54"/>
      <x:c r="L428" s="54"/>
      <x:c r="M428" s="63"/>
    </x:row>
    <x:row r="429">
      <x:c r="A429" s="54"/>
      <x:c r="B429" s="60"/>
      <x:c r="C429" s="54"/>
      <x:c r="D429" s="57" t="str">
        <x:f>IF($C429="","",IFERROR(VLOOKUP($C429,'Leads'!$A$6:$C$505,3,FALSE),"Lead ID not found"))</x:f>
      </x:c>
      <x:c r="E429" s="54"/>
      <x:c r="F429" s="54"/>
      <x:c r="G429" s="63"/>
      <x:c r="H429" s="54"/>
      <x:c r="I429" s="60"/>
      <x:c r="J429" s="54"/>
      <x:c r="K429" s="54"/>
      <x:c r="L429" s="54"/>
      <x:c r="M429" s="63"/>
    </x:row>
    <x:row r="430">
      <x:c r="A430" s="54"/>
      <x:c r="B430" s="60"/>
      <x:c r="C430" s="54"/>
      <x:c r="D430" s="57" t="str">
        <x:f>IF($C430="","",IFERROR(VLOOKUP($C430,'Leads'!$A$6:$C$505,3,FALSE),"Lead ID not found"))</x:f>
      </x:c>
      <x:c r="E430" s="54"/>
      <x:c r="F430" s="54"/>
      <x:c r="G430" s="63"/>
      <x:c r="H430" s="54"/>
      <x:c r="I430" s="60"/>
      <x:c r="J430" s="54"/>
      <x:c r="K430" s="54"/>
      <x:c r="L430" s="54"/>
      <x:c r="M430" s="63"/>
    </x:row>
    <x:row r="431">
      <x:c r="A431" s="54"/>
      <x:c r="B431" s="60"/>
      <x:c r="C431" s="54"/>
      <x:c r="D431" s="57" t="str">
        <x:f>IF($C431="","",IFERROR(VLOOKUP($C431,'Leads'!$A$6:$C$505,3,FALSE),"Lead ID not found"))</x:f>
      </x:c>
      <x:c r="E431" s="54"/>
      <x:c r="F431" s="54"/>
      <x:c r="G431" s="63"/>
      <x:c r="H431" s="54"/>
      <x:c r="I431" s="60"/>
      <x:c r="J431" s="54"/>
      <x:c r="K431" s="54"/>
      <x:c r="L431" s="54"/>
      <x:c r="M431" s="63"/>
    </x:row>
    <x:row r="432">
      <x:c r="A432" s="54"/>
      <x:c r="B432" s="60"/>
      <x:c r="C432" s="54"/>
      <x:c r="D432" s="57" t="str">
        <x:f>IF($C432="","",IFERROR(VLOOKUP($C432,'Leads'!$A$6:$C$505,3,FALSE),"Lead ID not found"))</x:f>
      </x:c>
      <x:c r="E432" s="54"/>
      <x:c r="F432" s="54"/>
      <x:c r="G432" s="63"/>
      <x:c r="H432" s="54"/>
      <x:c r="I432" s="60"/>
      <x:c r="J432" s="54"/>
      <x:c r="K432" s="54"/>
      <x:c r="L432" s="54"/>
      <x:c r="M432" s="63"/>
    </x:row>
    <x:row r="433">
      <x:c r="A433" s="54"/>
      <x:c r="B433" s="60"/>
      <x:c r="C433" s="54"/>
      <x:c r="D433" s="57" t="str">
        <x:f>IF($C433="","",IFERROR(VLOOKUP($C433,'Leads'!$A$6:$C$505,3,FALSE),"Lead ID not found"))</x:f>
      </x:c>
      <x:c r="E433" s="54"/>
      <x:c r="F433" s="54"/>
      <x:c r="G433" s="63"/>
      <x:c r="H433" s="54"/>
      <x:c r="I433" s="60"/>
      <x:c r="J433" s="54"/>
      <x:c r="K433" s="54"/>
      <x:c r="L433" s="54"/>
      <x:c r="M433" s="63"/>
    </x:row>
    <x:row r="434">
      <x:c r="A434" s="54"/>
      <x:c r="B434" s="60"/>
      <x:c r="C434" s="54"/>
      <x:c r="D434" s="57" t="str">
        <x:f>IF($C434="","",IFERROR(VLOOKUP($C434,'Leads'!$A$6:$C$505,3,FALSE),"Lead ID not found"))</x:f>
      </x:c>
      <x:c r="E434" s="54"/>
      <x:c r="F434" s="54"/>
      <x:c r="G434" s="63"/>
      <x:c r="H434" s="54"/>
      <x:c r="I434" s="60"/>
      <x:c r="J434" s="54"/>
      <x:c r="K434" s="54"/>
      <x:c r="L434" s="54"/>
      <x:c r="M434" s="63"/>
    </x:row>
    <x:row r="435">
      <x:c r="A435" s="54"/>
      <x:c r="B435" s="60"/>
      <x:c r="C435" s="54"/>
      <x:c r="D435" s="57" t="str">
        <x:f>IF($C435="","",IFERROR(VLOOKUP($C435,'Leads'!$A$6:$C$505,3,FALSE),"Lead ID not found"))</x:f>
      </x:c>
      <x:c r="E435" s="54"/>
      <x:c r="F435" s="54"/>
      <x:c r="G435" s="63"/>
      <x:c r="H435" s="54"/>
      <x:c r="I435" s="60"/>
      <x:c r="J435" s="54"/>
      <x:c r="K435" s="54"/>
      <x:c r="L435" s="54"/>
      <x:c r="M435" s="63"/>
    </x:row>
    <x:row r="436">
      <x:c r="A436" s="54"/>
      <x:c r="B436" s="60"/>
      <x:c r="C436" s="54"/>
      <x:c r="D436" s="57" t="str">
        <x:f>IF($C436="","",IFERROR(VLOOKUP($C436,'Leads'!$A$6:$C$505,3,FALSE),"Lead ID not found"))</x:f>
      </x:c>
      <x:c r="E436" s="54"/>
      <x:c r="F436" s="54"/>
      <x:c r="G436" s="63"/>
      <x:c r="H436" s="54"/>
      <x:c r="I436" s="60"/>
      <x:c r="J436" s="54"/>
      <x:c r="K436" s="54"/>
      <x:c r="L436" s="54"/>
      <x:c r="M436" s="63"/>
    </x:row>
    <x:row r="437">
      <x:c r="A437" s="54"/>
      <x:c r="B437" s="60"/>
      <x:c r="C437" s="54"/>
      <x:c r="D437" s="57" t="str">
        <x:f>IF($C437="","",IFERROR(VLOOKUP($C437,'Leads'!$A$6:$C$505,3,FALSE),"Lead ID not found"))</x:f>
      </x:c>
      <x:c r="E437" s="54"/>
      <x:c r="F437" s="54"/>
      <x:c r="G437" s="63"/>
      <x:c r="H437" s="54"/>
      <x:c r="I437" s="60"/>
      <x:c r="J437" s="54"/>
      <x:c r="K437" s="54"/>
      <x:c r="L437" s="54"/>
      <x:c r="M437" s="63"/>
    </x:row>
    <x:row r="438">
      <x:c r="A438" s="54"/>
      <x:c r="B438" s="60"/>
      <x:c r="C438" s="54"/>
      <x:c r="D438" s="57" t="str">
        <x:f>IF($C438="","",IFERROR(VLOOKUP($C438,'Leads'!$A$6:$C$505,3,FALSE),"Lead ID not found"))</x:f>
      </x:c>
      <x:c r="E438" s="54"/>
      <x:c r="F438" s="54"/>
      <x:c r="G438" s="63"/>
      <x:c r="H438" s="54"/>
      <x:c r="I438" s="60"/>
      <x:c r="J438" s="54"/>
      <x:c r="K438" s="54"/>
      <x:c r="L438" s="54"/>
      <x:c r="M438" s="63"/>
    </x:row>
    <x:row r="439">
      <x:c r="A439" s="54"/>
      <x:c r="B439" s="60"/>
      <x:c r="C439" s="54"/>
      <x:c r="D439" s="57" t="str">
        <x:f>IF($C439="","",IFERROR(VLOOKUP($C439,'Leads'!$A$6:$C$505,3,FALSE),"Lead ID not found"))</x:f>
      </x:c>
      <x:c r="E439" s="54"/>
      <x:c r="F439" s="54"/>
      <x:c r="G439" s="63"/>
      <x:c r="H439" s="54"/>
      <x:c r="I439" s="60"/>
      <x:c r="J439" s="54"/>
      <x:c r="K439" s="54"/>
      <x:c r="L439" s="54"/>
      <x:c r="M439" s="63"/>
    </x:row>
    <x:row r="440">
      <x:c r="A440" s="54"/>
      <x:c r="B440" s="60"/>
      <x:c r="C440" s="54"/>
      <x:c r="D440" s="57" t="str">
        <x:f>IF($C440="","",IFERROR(VLOOKUP($C440,'Leads'!$A$6:$C$505,3,FALSE),"Lead ID not found"))</x:f>
      </x:c>
      <x:c r="E440" s="54"/>
      <x:c r="F440" s="54"/>
      <x:c r="G440" s="63"/>
      <x:c r="H440" s="54"/>
      <x:c r="I440" s="60"/>
      <x:c r="J440" s="54"/>
      <x:c r="K440" s="54"/>
      <x:c r="L440" s="54"/>
      <x:c r="M440" s="63"/>
    </x:row>
    <x:row r="441">
      <x:c r="A441" s="54"/>
      <x:c r="B441" s="60"/>
      <x:c r="C441" s="54"/>
      <x:c r="D441" s="57" t="str">
        <x:f>IF($C441="","",IFERROR(VLOOKUP($C441,'Leads'!$A$6:$C$505,3,FALSE),"Lead ID not found"))</x:f>
      </x:c>
      <x:c r="E441" s="54"/>
      <x:c r="F441" s="54"/>
      <x:c r="G441" s="63"/>
      <x:c r="H441" s="54"/>
      <x:c r="I441" s="60"/>
      <x:c r="J441" s="54"/>
      <x:c r="K441" s="54"/>
      <x:c r="L441" s="54"/>
      <x:c r="M441" s="63"/>
    </x:row>
    <x:row r="442">
      <x:c r="A442" s="54"/>
      <x:c r="B442" s="60"/>
      <x:c r="C442" s="54"/>
      <x:c r="D442" s="57" t="str">
        <x:f>IF($C442="","",IFERROR(VLOOKUP($C442,'Leads'!$A$6:$C$505,3,FALSE),"Lead ID not found"))</x:f>
      </x:c>
      <x:c r="E442" s="54"/>
      <x:c r="F442" s="54"/>
      <x:c r="G442" s="63"/>
      <x:c r="H442" s="54"/>
      <x:c r="I442" s="60"/>
      <x:c r="J442" s="54"/>
      <x:c r="K442" s="54"/>
      <x:c r="L442" s="54"/>
      <x:c r="M442" s="63"/>
    </x:row>
    <x:row r="443">
      <x:c r="A443" s="54"/>
      <x:c r="B443" s="60"/>
      <x:c r="C443" s="54"/>
      <x:c r="D443" s="57" t="str">
        <x:f>IF($C443="","",IFERROR(VLOOKUP($C443,'Leads'!$A$6:$C$505,3,FALSE),"Lead ID not found"))</x:f>
      </x:c>
      <x:c r="E443" s="54"/>
      <x:c r="F443" s="54"/>
      <x:c r="G443" s="63"/>
      <x:c r="H443" s="54"/>
      <x:c r="I443" s="60"/>
      <x:c r="J443" s="54"/>
      <x:c r="K443" s="54"/>
      <x:c r="L443" s="54"/>
      <x:c r="M443" s="63"/>
    </x:row>
    <x:row r="444">
      <x:c r="A444" s="54"/>
      <x:c r="B444" s="60"/>
      <x:c r="C444" s="54"/>
      <x:c r="D444" s="57" t="str">
        <x:f>IF($C444="","",IFERROR(VLOOKUP($C444,'Leads'!$A$6:$C$505,3,FALSE),"Lead ID not found"))</x:f>
      </x:c>
      <x:c r="E444" s="54"/>
      <x:c r="F444" s="54"/>
      <x:c r="G444" s="63"/>
      <x:c r="H444" s="54"/>
      <x:c r="I444" s="60"/>
      <x:c r="J444" s="54"/>
      <x:c r="K444" s="54"/>
      <x:c r="L444" s="54"/>
      <x:c r="M444" s="63"/>
    </x:row>
    <x:row r="445">
      <x:c r="A445" s="54"/>
      <x:c r="B445" s="60"/>
      <x:c r="C445" s="54"/>
      <x:c r="D445" s="57" t="str">
        <x:f>IF($C445="","",IFERROR(VLOOKUP($C445,'Leads'!$A$6:$C$505,3,FALSE),"Lead ID not found"))</x:f>
      </x:c>
      <x:c r="E445" s="54"/>
      <x:c r="F445" s="54"/>
      <x:c r="G445" s="63"/>
      <x:c r="H445" s="54"/>
      <x:c r="I445" s="60"/>
      <x:c r="J445" s="54"/>
      <x:c r="K445" s="54"/>
      <x:c r="L445" s="54"/>
      <x:c r="M445" s="63"/>
    </x:row>
    <x:row r="446">
      <x:c r="A446" s="54"/>
      <x:c r="B446" s="60"/>
      <x:c r="C446" s="54"/>
      <x:c r="D446" s="57" t="str">
        <x:f>IF($C446="","",IFERROR(VLOOKUP($C446,'Leads'!$A$6:$C$505,3,FALSE),"Lead ID not found"))</x:f>
      </x:c>
      <x:c r="E446" s="54"/>
      <x:c r="F446" s="54"/>
      <x:c r="G446" s="63"/>
      <x:c r="H446" s="54"/>
      <x:c r="I446" s="60"/>
      <x:c r="J446" s="54"/>
      <x:c r="K446" s="54"/>
      <x:c r="L446" s="54"/>
      <x:c r="M446" s="63"/>
    </x:row>
    <x:row r="447">
      <x:c r="A447" s="54"/>
      <x:c r="B447" s="60"/>
      <x:c r="C447" s="54"/>
      <x:c r="D447" s="57" t="str">
        <x:f>IF($C447="","",IFERROR(VLOOKUP($C447,'Leads'!$A$6:$C$505,3,FALSE),"Lead ID not found"))</x:f>
      </x:c>
      <x:c r="E447" s="54"/>
      <x:c r="F447" s="54"/>
      <x:c r="G447" s="63"/>
      <x:c r="H447" s="54"/>
      <x:c r="I447" s="60"/>
      <x:c r="J447" s="54"/>
      <x:c r="K447" s="54"/>
      <x:c r="L447" s="54"/>
      <x:c r="M447" s="63"/>
    </x:row>
    <x:row r="448">
      <x:c r="A448" s="54"/>
      <x:c r="B448" s="60"/>
      <x:c r="C448" s="54"/>
      <x:c r="D448" s="57" t="str">
        <x:f>IF($C448="","",IFERROR(VLOOKUP($C448,'Leads'!$A$6:$C$505,3,FALSE),"Lead ID not found"))</x:f>
      </x:c>
      <x:c r="E448" s="54"/>
      <x:c r="F448" s="54"/>
      <x:c r="G448" s="63"/>
      <x:c r="H448" s="54"/>
      <x:c r="I448" s="60"/>
      <x:c r="J448" s="54"/>
      <x:c r="K448" s="54"/>
      <x:c r="L448" s="54"/>
      <x:c r="M448" s="63"/>
    </x:row>
    <x:row r="449">
      <x:c r="A449" s="54"/>
      <x:c r="B449" s="60"/>
      <x:c r="C449" s="54"/>
      <x:c r="D449" s="57" t="str">
        <x:f>IF($C449="","",IFERROR(VLOOKUP($C449,'Leads'!$A$6:$C$505,3,FALSE),"Lead ID not found"))</x:f>
      </x:c>
      <x:c r="E449" s="54"/>
      <x:c r="F449" s="54"/>
      <x:c r="G449" s="63"/>
      <x:c r="H449" s="54"/>
      <x:c r="I449" s="60"/>
      <x:c r="J449" s="54"/>
      <x:c r="K449" s="54"/>
      <x:c r="L449" s="54"/>
      <x:c r="M449" s="63"/>
    </x:row>
    <x:row r="450">
      <x:c r="A450" s="54"/>
      <x:c r="B450" s="60"/>
      <x:c r="C450" s="54"/>
      <x:c r="D450" s="57" t="str">
        <x:f>IF($C450="","",IFERROR(VLOOKUP($C450,'Leads'!$A$6:$C$505,3,FALSE),"Lead ID not found"))</x:f>
      </x:c>
      <x:c r="E450" s="54"/>
      <x:c r="F450" s="54"/>
      <x:c r="G450" s="63"/>
      <x:c r="H450" s="54"/>
      <x:c r="I450" s="60"/>
      <x:c r="J450" s="54"/>
      <x:c r="K450" s="54"/>
      <x:c r="L450" s="54"/>
      <x:c r="M450" s="63"/>
    </x:row>
    <x:row r="451">
      <x:c r="A451" s="54"/>
      <x:c r="B451" s="60"/>
      <x:c r="C451" s="54"/>
      <x:c r="D451" s="57" t="str">
        <x:f>IF($C451="","",IFERROR(VLOOKUP($C451,'Leads'!$A$6:$C$505,3,FALSE),"Lead ID not found"))</x:f>
      </x:c>
      <x:c r="E451" s="54"/>
      <x:c r="F451" s="54"/>
      <x:c r="G451" s="63"/>
      <x:c r="H451" s="54"/>
      <x:c r="I451" s="60"/>
      <x:c r="J451" s="54"/>
      <x:c r="K451" s="54"/>
      <x:c r="L451" s="54"/>
      <x:c r="M451" s="63"/>
    </x:row>
    <x:row r="452">
      <x:c r="A452" s="54"/>
      <x:c r="B452" s="60"/>
      <x:c r="C452" s="54"/>
      <x:c r="D452" s="57" t="str">
        <x:f>IF($C452="","",IFERROR(VLOOKUP($C452,'Leads'!$A$6:$C$505,3,FALSE),"Lead ID not found"))</x:f>
      </x:c>
      <x:c r="E452" s="54"/>
      <x:c r="F452" s="54"/>
      <x:c r="G452" s="63"/>
      <x:c r="H452" s="54"/>
      <x:c r="I452" s="60"/>
      <x:c r="J452" s="54"/>
      <x:c r="K452" s="54"/>
      <x:c r="L452" s="54"/>
      <x:c r="M452" s="63"/>
    </x:row>
    <x:row r="453">
      <x:c r="A453" s="54"/>
      <x:c r="B453" s="60"/>
      <x:c r="C453" s="54"/>
      <x:c r="D453" s="57" t="str">
        <x:f>IF($C453="","",IFERROR(VLOOKUP($C453,'Leads'!$A$6:$C$505,3,FALSE),"Lead ID not found"))</x:f>
      </x:c>
      <x:c r="E453" s="54"/>
      <x:c r="F453" s="54"/>
      <x:c r="G453" s="63"/>
      <x:c r="H453" s="54"/>
      <x:c r="I453" s="60"/>
      <x:c r="J453" s="54"/>
      <x:c r="K453" s="54"/>
      <x:c r="L453" s="54"/>
      <x:c r="M453" s="63"/>
    </x:row>
    <x:row r="454">
      <x:c r="A454" s="54"/>
      <x:c r="B454" s="60"/>
      <x:c r="C454" s="54"/>
      <x:c r="D454" s="57" t="str">
        <x:f>IF($C454="","",IFERROR(VLOOKUP($C454,'Leads'!$A$6:$C$505,3,FALSE),"Lead ID not found"))</x:f>
      </x:c>
      <x:c r="E454" s="54"/>
      <x:c r="F454" s="54"/>
      <x:c r="G454" s="63"/>
      <x:c r="H454" s="54"/>
      <x:c r="I454" s="60"/>
      <x:c r="J454" s="54"/>
      <x:c r="K454" s="54"/>
      <x:c r="L454" s="54"/>
      <x:c r="M454" s="63"/>
    </x:row>
    <x:row r="455">
      <x:c r="A455" s="54"/>
      <x:c r="B455" s="60"/>
      <x:c r="C455" s="54"/>
      <x:c r="D455" s="57" t="str">
        <x:f>IF($C455="","",IFERROR(VLOOKUP($C455,'Leads'!$A$6:$C$505,3,FALSE),"Lead ID not found"))</x:f>
      </x:c>
      <x:c r="E455" s="54"/>
      <x:c r="F455" s="54"/>
      <x:c r="G455" s="63"/>
      <x:c r="H455" s="54"/>
      <x:c r="I455" s="60"/>
      <x:c r="J455" s="54"/>
      <x:c r="K455" s="54"/>
      <x:c r="L455" s="54"/>
      <x:c r="M455" s="63"/>
    </x:row>
    <x:row r="456">
      <x:c r="A456" s="54"/>
      <x:c r="B456" s="60"/>
      <x:c r="C456" s="54"/>
      <x:c r="D456" s="57" t="str">
        <x:f>IF($C456="","",IFERROR(VLOOKUP($C456,'Leads'!$A$6:$C$505,3,FALSE),"Lead ID not found"))</x:f>
      </x:c>
      <x:c r="E456" s="54"/>
      <x:c r="F456" s="54"/>
      <x:c r="G456" s="63"/>
      <x:c r="H456" s="54"/>
      <x:c r="I456" s="60"/>
      <x:c r="J456" s="54"/>
      <x:c r="K456" s="54"/>
      <x:c r="L456" s="54"/>
      <x:c r="M456" s="63"/>
    </x:row>
    <x:row r="457">
      <x:c r="A457" s="54"/>
      <x:c r="B457" s="60"/>
      <x:c r="C457" s="54"/>
      <x:c r="D457" s="57" t="str">
        <x:f>IF($C457="","",IFERROR(VLOOKUP($C457,'Leads'!$A$6:$C$505,3,FALSE),"Lead ID not found"))</x:f>
      </x:c>
      <x:c r="E457" s="54"/>
      <x:c r="F457" s="54"/>
      <x:c r="G457" s="63"/>
      <x:c r="H457" s="54"/>
      <x:c r="I457" s="60"/>
      <x:c r="J457" s="54"/>
      <x:c r="K457" s="54"/>
      <x:c r="L457" s="54"/>
      <x:c r="M457" s="63"/>
    </x:row>
    <x:row r="458">
      <x:c r="A458" s="54"/>
      <x:c r="B458" s="60"/>
      <x:c r="C458" s="54"/>
      <x:c r="D458" s="57" t="str">
        <x:f>IF($C458="","",IFERROR(VLOOKUP($C458,'Leads'!$A$6:$C$505,3,FALSE),"Lead ID not found"))</x:f>
      </x:c>
      <x:c r="E458" s="54"/>
      <x:c r="F458" s="54"/>
      <x:c r="G458" s="63"/>
      <x:c r="H458" s="54"/>
      <x:c r="I458" s="60"/>
      <x:c r="J458" s="54"/>
      <x:c r="K458" s="54"/>
      <x:c r="L458" s="54"/>
      <x:c r="M458" s="63"/>
    </x:row>
    <x:row r="459">
      <x:c r="A459" s="54"/>
      <x:c r="B459" s="60"/>
      <x:c r="C459" s="54"/>
      <x:c r="D459" s="57" t="str">
        <x:f>IF($C459="","",IFERROR(VLOOKUP($C459,'Leads'!$A$6:$C$505,3,FALSE),"Lead ID not found"))</x:f>
      </x:c>
      <x:c r="E459" s="54"/>
      <x:c r="F459" s="54"/>
      <x:c r="G459" s="63"/>
      <x:c r="H459" s="54"/>
      <x:c r="I459" s="60"/>
      <x:c r="J459" s="54"/>
      <x:c r="K459" s="54"/>
      <x:c r="L459" s="54"/>
      <x:c r="M459" s="63"/>
    </x:row>
    <x:row r="460">
      <x:c r="A460" s="54"/>
      <x:c r="B460" s="60"/>
      <x:c r="C460" s="54"/>
      <x:c r="D460" s="57" t="str">
        <x:f>IF($C460="","",IFERROR(VLOOKUP($C460,'Leads'!$A$6:$C$505,3,FALSE),"Lead ID not found"))</x:f>
      </x:c>
      <x:c r="E460" s="54"/>
      <x:c r="F460" s="54"/>
      <x:c r="G460" s="63"/>
      <x:c r="H460" s="54"/>
      <x:c r="I460" s="60"/>
      <x:c r="J460" s="54"/>
      <x:c r="K460" s="54"/>
      <x:c r="L460" s="54"/>
      <x:c r="M460" s="63"/>
    </x:row>
    <x:row r="461">
      <x:c r="A461" s="54"/>
      <x:c r="B461" s="60"/>
      <x:c r="C461" s="54"/>
      <x:c r="D461" s="57" t="str">
        <x:f>IF($C461="","",IFERROR(VLOOKUP($C461,'Leads'!$A$6:$C$505,3,FALSE),"Lead ID not found"))</x:f>
      </x:c>
      <x:c r="E461" s="54"/>
      <x:c r="F461" s="54"/>
      <x:c r="G461" s="63"/>
      <x:c r="H461" s="54"/>
      <x:c r="I461" s="60"/>
      <x:c r="J461" s="54"/>
      <x:c r="K461" s="54"/>
      <x:c r="L461" s="54"/>
      <x:c r="M461" s="63"/>
    </x:row>
    <x:row r="462">
      <x:c r="A462" s="54"/>
      <x:c r="B462" s="60"/>
      <x:c r="C462" s="54"/>
      <x:c r="D462" s="57" t="str">
        <x:f>IF($C462="","",IFERROR(VLOOKUP($C462,'Leads'!$A$6:$C$505,3,FALSE),"Lead ID not found"))</x:f>
      </x:c>
      <x:c r="E462" s="54"/>
      <x:c r="F462" s="54"/>
      <x:c r="G462" s="63"/>
      <x:c r="H462" s="54"/>
      <x:c r="I462" s="60"/>
      <x:c r="J462" s="54"/>
      <x:c r="K462" s="54"/>
      <x:c r="L462" s="54"/>
      <x:c r="M462" s="63"/>
    </x:row>
    <x:row r="463">
      <x:c r="A463" s="54"/>
      <x:c r="B463" s="60"/>
      <x:c r="C463" s="54"/>
      <x:c r="D463" s="57" t="str">
        <x:f>IF($C463="","",IFERROR(VLOOKUP($C463,'Leads'!$A$6:$C$505,3,FALSE),"Lead ID not found"))</x:f>
      </x:c>
      <x:c r="E463" s="54"/>
      <x:c r="F463" s="54"/>
      <x:c r="G463" s="63"/>
      <x:c r="H463" s="54"/>
      <x:c r="I463" s="60"/>
      <x:c r="J463" s="54"/>
      <x:c r="K463" s="54"/>
      <x:c r="L463" s="54"/>
      <x:c r="M463" s="63"/>
    </x:row>
    <x:row r="464">
      <x:c r="A464" s="54"/>
      <x:c r="B464" s="60"/>
      <x:c r="C464" s="54"/>
      <x:c r="D464" s="57" t="str">
        <x:f>IF($C464="","",IFERROR(VLOOKUP($C464,'Leads'!$A$6:$C$505,3,FALSE),"Lead ID not found"))</x:f>
      </x:c>
      <x:c r="E464" s="54"/>
      <x:c r="F464" s="54"/>
      <x:c r="G464" s="63"/>
      <x:c r="H464" s="54"/>
      <x:c r="I464" s="60"/>
      <x:c r="J464" s="54"/>
      <x:c r="K464" s="54"/>
      <x:c r="L464" s="54"/>
      <x:c r="M464" s="63"/>
    </x:row>
    <x:row r="465">
      <x:c r="A465" s="54"/>
      <x:c r="B465" s="60"/>
      <x:c r="C465" s="54"/>
      <x:c r="D465" s="57" t="str">
        <x:f>IF($C465="","",IFERROR(VLOOKUP($C465,'Leads'!$A$6:$C$505,3,FALSE),"Lead ID not found"))</x:f>
      </x:c>
      <x:c r="E465" s="54"/>
      <x:c r="F465" s="54"/>
      <x:c r="G465" s="63"/>
      <x:c r="H465" s="54"/>
      <x:c r="I465" s="60"/>
      <x:c r="J465" s="54"/>
      <x:c r="K465" s="54"/>
      <x:c r="L465" s="54"/>
      <x:c r="M465" s="63"/>
    </x:row>
    <x:row r="466">
      <x:c r="A466" s="54"/>
      <x:c r="B466" s="60"/>
      <x:c r="C466" s="54"/>
      <x:c r="D466" s="57" t="str">
        <x:f>IF($C466="","",IFERROR(VLOOKUP($C466,'Leads'!$A$6:$C$505,3,FALSE),"Lead ID not found"))</x:f>
      </x:c>
      <x:c r="E466" s="54"/>
      <x:c r="F466" s="54"/>
      <x:c r="G466" s="63"/>
      <x:c r="H466" s="54"/>
      <x:c r="I466" s="60"/>
      <x:c r="J466" s="54"/>
      <x:c r="K466" s="54"/>
      <x:c r="L466" s="54"/>
      <x:c r="M466" s="63"/>
    </x:row>
    <x:row r="467">
      <x:c r="A467" s="54"/>
      <x:c r="B467" s="60"/>
      <x:c r="C467" s="54"/>
      <x:c r="D467" s="57" t="str">
        <x:f>IF($C467="","",IFERROR(VLOOKUP($C467,'Leads'!$A$6:$C$505,3,FALSE),"Lead ID not found"))</x:f>
      </x:c>
      <x:c r="E467" s="54"/>
      <x:c r="F467" s="54"/>
      <x:c r="G467" s="63"/>
      <x:c r="H467" s="54"/>
      <x:c r="I467" s="60"/>
      <x:c r="J467" s="54"/>
      <x:c r="K467" s="54"/>
      <x:c r="L467" s="54"/>
      <x:c r="M467" s="63"/>
    </x:row>
    <x:row r="468">
      <x:c r="A468" s="54"/>
      <x:c r="B468" s="60"/>
      <x:c r="C468" s="54"/>
      <x:c r="D468" s="57" t="str">
        <x:f>IF($C468="","",IFERROR(VLOOKUP($C468,'Leads'!$A$6:$C$505,3,FALSE),"Lead ID not found"))</x:f>
      </x:c>
      <x:c r="E468" s="54"/>
      <x:c r="F468" s="54"/>
      <x:c r="G468" s="63"/>
      <x:c r="H468" s="54"/>
      <x:c r="I468" s="60"/>
      <x:c r="J468" s="54"/>
      <x:c r="K468" s="54"/>
      <x:c r="L468" s="54"/>
      <x:c r="M468" s="63"/>
    </x:row>
    <x:row r="469">
      <x:c r="A469" s="54"/>
      <x:c r="B469" s="60"/>
      <x:c r="C469" s="54"/>
      <x:c r="D469" s="57" t="str">
        <x:f>IF($C469="","",IFERROR(VLOOKUP($C469,'Leads'!$A$6:$C$505,3,FALSE),"Lead ID not found"))</x:f>
      </x:c>
      <x:c r="E469" s="54"/>
      <x:c r="F469" s="54"/>
      <x:c r="G469" s="63"/>
      <x:c r="H469" s="54"/>
      <x:c r="I469" s="60"/>
      <x:c r="J469" s="54"/>
      <x:c r="K469" s="54"/>
      <x:c r="L469" s="54"/>
      <x:c r="M469" s="63"/>
    </x:row>
    <x:row r="470">
      <x:c r="A470" s="54"/>
      <x:c r="B470" s="60"/>
      <x:c r="C470" s="54"/>
      <x:c r="D470" s="57" t="str">
        <x:f>IF($C470="","",IFERROR(VLOOKUP($C470,'Leads'!$A$6:$C$505,3,FALSE),"Lead ID not found"))</x:f>
      </x:c>
      <x:c r="E470" s="54"/>
      <x:c r="F470" s="54"/>
      <x:c r="G470" s="63"/>
      <x:c r="H470" s="54"/>
      <x:c r="I470" s="60"/>
      <x:c r="J470" s="54"/>
      <x:c r="K470" s="54"/>
      <x:c r="L470" s="54"/>
      <x:c r="M470" s="63"/>
    </x:row>
    <x:row r="471">
      <x:c r="A471" s="54"/>
      <x:c r="B471" s="60"/>
      <x:c r="C471" s="54"/>
      <x:c r="D471" s="57" t="str">
        <x:f>IF($C471="","",IFERROR(VLOOKUP($C471,'Leads'!$A$6:$C$505,3,FALSE),"Lead ID not found"))</x:f>
      </x:c>
      <x:c r="E471" s="54"/>
      <x:c r="F471" s="54"/>
      <x:c r="G471" s="63"/>
      <x:c r="H471" s="54"/>
      <x:c r="I471" s="60"/>
      <x:c r="J471" s="54"/>
      <x:c r="K471" s="54"/>
      <x:c r="L471" s="54"/>
      <x:c r="M471" s="63"/>
    </x:row>
    <x:row r="472">
      <x:c r="A472" s="54"/>
      <x:c r="B472" s="60"/>
      <x:c r="C472" s="54"/>
      <x:c r="D472" s="57" t="str">
        <x:f>IF($C472="","",IFERROR(VLOOKUP($C472,'Leads'!$A$6:$C$505,3,FALSE),"Lead ID not found"))</x:f>
      </x:c>
      <x:c r="E472" s="54"/>
      <x:c r="F472" s="54"/>
      <x:c r="G472" s="63"/>
      <x:c r="H472" s="54"/>
      <x:c r="I472" s="60"/>
      <x:c r="J472" s="54"/>
      <x:c r="K472" s="54"/>
      <x:c r="L472" s="54"/>
      <x:c r="M472" s="63"/>
    </x:row>
    <x:row r="473">
      <x:c r="A473" s="54"/>
      <x:c r="B473" s="60"/>
      <x:c r="C473" s="54"/>
      <x:c r="D473" s="57" t="str">
        <x:f>IF($C473="","",IFERROR(VLOOKUP($C473,'Leads'!$A$6:$C$505,3,FALSE),"Lead ID not found"))</x:f>
      </x:c>
      <x:c r="E473" s="54"/>
      <x:c r="F473" s="54"/>
      <x:c r="G473" s="63"/>
      <x:c r="H473" s="54"/>
      <x:c r="I473" s="60"/>
      <x:c r="J473" s="54"/>
      <x:c r="K473" s="54"/>
      <x:c r="L473" s="54"/>
      <x:c r="M473" s="63"/>
    </x:row>
    <x:row r="474">
      <x:c r="A474" s="54"/>
      <x:c r="B474" s="60"/>
      <x:c r="C474" s="54"/>
      <x:c r="D474" s="57" t="str">
        <x:f>IF($C474="","",IFERROR(VLOOKUP($C474,'Leads'!$A$6:$C$505,3,FALSE),"Lead ID not found"))</x:f>
      </x:c>
      <x:c r="E474" s="54"/>
      <x:c r="F474" s="54"/>
      <x:c r="G474" s="63"/>
      <x:c r="H474" s="54"/>
      <x:c r="I474" s="60"/>
      <x:c r="J474" s="54"/>
      <x:c r="K474" s="54"/>
      <x:c r="L474" s="54"/>
      <x:c r="M474" s="63"/>
    </x:row>
    <x:row r="475">
      <x:c r="A475" s="54"/>
      <x:c r="B475" s="60"/>
      <x:c r="C475" s="54"/>
      <x:c r="D475" s="57" t="str">
        <x:f>IF($C475="","",IFERROR(VLOOKUP($C475,'Leads'!$A$6:$C$505,3,FALSE),"Lead ID not found"))</x:f>
      </x:c>
      <x:c r="E475" s="54"/>
      <x:c r="F475" s="54"/>
      <x:c r="G475" s="63"/>
      <x:c r="H475" s="54"/>
      <x:c r="I475" s="60"/>
      <x:c r="J475" s="54"/>
      <x:c r="K475" s="54"/>
      <x:c r="L475" s="54"/>
      <x:c r="M475" s="63"/>
    </x:row>
    <x:row r="476">
      <x:c r="A476" s="54"/>
      <x:c r="B476" s="60"/>
      <x:c r="C476" s="54"/>
      <x:c r="D476" s="57" t="str">
        <x:f>IF($C476="","",IFERROR(VLOOKUP($C476,'Leads'!$A$6:$C$505,3,FALSE),"Lead ID not found"))</x:f>
      </x:c>
      <x:c r="E476" s="54"/>
      <x:c r="F476" s="54"/>
      <x:c r="G476" s="63"/>
      <x:c r="H476" s="54"/>
      <x:c r="I476" s="60"/>
      <x:c r="J476" s="54"/>
      <x:c r="K476" s="54"/>
      <x:c r="L476" s="54"/>
      <x:c r="M476" s="63"/>
    </x:row>
    <x:row r="477">
      <x:c r="A477" s="54"/>
      <x:c r="B477" s="60"/>
      <x:c r="C477" s="54"/>
      <x:c r="D477" s="57" t="str">
        <x:f>IF($C477="","",IFERROR(VLOOKUP($C477,'Leads'!$A$6:$C$505,3,FALSE),"Lead ID not found"))</x:f>
      </x:c>
      <x:c r="E477" s="54"/>
      <x:c r="F477" s="54"/>
      <x:c r="G477" s="63"/>
      <x:c r="H477" s="54"/>
      <x:c r="I477" s="60"/>
      <x:c r="J477" s="54"/>
      <x:c r="K477" s="54"/>
      <x:c r="L477" s="54"/>
      <x:c r="M477" s="63"/>
    </x:row>
    <x:row r="478">
      <x:c r="A478" s="54"/>
      <x:c r="B478" s="60"/>
      <x:c r="C478" s="54"/>
      <x:c r="D478" s="57" t="str">
        <x:f>IF($C478="","",IFERROR(VLOOKUP($C478,'Leads'!$A$6:$C$505,3,FALSE),"Lead ID not found"))</x:f>
      </x:c>
      <x:c r="E478" s="54"/>
      <x:c r="F478" s="54"/>
      <x:c r="G478" s="63"/>
      <x:c r="H478" s="54"/>
      <x:c r="I478" s="60"/>
      <x:c r="J478" s="54"/>
      <x:c r="K478" s="54"/>
      <x:c r="L478" s="54"/>
      <x:c r="M478" s="63"/>
    </x:row>
    <x:row r="479">
      <x:c r="A479" s="54"/>
      <x:c r="B479" s="60"/>
      <x:c r="C479" s="54"/>
      <x:c r="D479" s="57" t="str">
        <x:f>IF($C479="","",IFERROR(VLOOKUP($C479,'Leads'!$A$6:$C$505,3,FALSE),"Lead ID not found"))</x:f>
      </x:c>
      <x:c r="E479" s="54"/>
      <x:c r="F479" s="54"/>
      <x:c r="G479" s="63"/>
      <x:c r="H479" s="54"/>
      <x:c r="I479" s="60"/>
      <x:c r="J479" s="54"/>
      <x:c r="K479" s="54"/>
      <x:c r="L479" s="54"/>
      <x:c r="M479" s="63"/>
    </x:row>
    <x:row r="480">
      <x:c r="A480" s="54"/>
      <x:c r="B480" s="60"/>
      <x:c r="C480" s="54"/>
      <x:c r="D480" s="57" t="str">
        <x:f>IF($C480="","",IFERROR(VLOOKUP($C480,'Leads'!$A$6:$C$505,3,FALSE),"Lead ID not found"))</x:f>
      </x:c>
      <x:c r="E480" s="54"/>
      <x:c r="F480" s="54"/>
      <x:c r="G480" s="63"/>
      <x:c r="H480" s="54"/>
      <x:c r="I480" s="60"/>
      <x:c r="J480" s="54"/>
      <x:c r="K480" s="54"/>
      <x:c r="L480" s="54"/>
      <x:c r="M480" s="63"/>
    </x:row>
    <x:row r="481">
      <x:c r="A481" s="54"/>
      <x:c r="B481" s="60"/>
      <x:c r="C481" s="54"/>
      <x:c r="D481" s="57" t="str">
        <x:f>IF($C481="","",IFERROR(VLOOKUP($C481,'Leads'!$A$6:$C$505,3,FALSE),"Lead ID not found"))</x:f>
      </x:c>
      <x:c r="E481" s="54"/>
      <x:c r="F481" s="54"/>
      <x:c r="G481" s="63"/>
      <x:c r="H481" s="54"/>
      <x:c r="I481" s="60"/>
      <x:c r="J481" s="54"/>
      <x:c r="K481" s="54"/>
      <x:c r="L481" s="54"/>
      <x:c r="M481" s="63"/>
    </x:row>
    <x:row r="482">
      <x:c r="A482" s="54"/>
      <x:c r="B482" s="60"/>
      <x:c r="C482" s="54"/>
      <x:c r="D482" s="57" t="str">
        <x:f>IF($C482="","",IFERROR(VLOOKUP($C482,'Leads'!$A$6:$C$505,3,FALSE),"Lead ID not found"))</x:f>
      </x:c>
      <x:c r="E482" s="54"/>
      <x:c r="F482" s="54"/>
      <x:c r="G482" s="63"/>
      <x:c r="H482" s="54"/>
      <x:c r="I482" s="60"/>
      <x:c r="J482" s="54"/>
      <x:c r="K482" s="54"/>
      <x:c r="L482" s="54"/>
      <x:c r="M482" s="63"/>
    </x:row>
    <x:row r="483">
      <x:c r="A483" s="54"/>
      <x:c r="B483" s="60"/>
      <x:c r="C483" s="54"/>
      <x:c r="D483" s="57" t="str">
        <x:f>IF($C483="","",IFERROR(VLOOKUP($C483,'Leads'!$A$6:$C$505,3,FALSE),"Lead ID not found"))</x:f>
      </x:c>
      <x:c r="E483" s="54"/>
      <x:c r="F483" s="54"/>
      <x:c r="G483" s="63"/>
      <x:c r="H483" s="54"/>
      <x:c r="I483" s="60"/>
      <x:c r="J483" s="54"/>
      <x:c r="K483" s="54"/>
      <x:c r="L483" s="54"/>
      <x:c r="M483" s="63"/>
    </x:row>
    <x:row r="484">
      <x:c r="A484" s="54"/>
      <x:c r="B484" s="60"/>
      <x:c r="C484" s="54"/>
      <x:c r="D484" s="57" t="str">
        <x:f>IF($C484="","",IFERROR(VLOOKUP($C484,'Leads'!$A$6:$C$505,3,FALSE),"Lead ID not found"))</x:f>
      </x:c>
      <x:c r="E484" s="54"/>
      <x:c r="F484" s="54"/>
      <x:c r="G484" s="63"/>
      <x:c r="H484" s="54"/>
      <x:c r="I484" s="60"/>
      <x:c r="J484" s="54"/>
      <x:c r="K484" s="54"/>
      <x:c r="L484" s="54"/>
      <x:c r="M484" s="63"/>
    </x:row>
    <x:row r="485">
      <x:c r="A485" s="54"/>
      <x:c r="B485" s="60"/>
      <x:c r="C485" s="54"/>
      <x:c r="D485" s="57" t="str">
        <x:f>IF($C485="","",IFERROR(VLOOKUP($C485,'Leads'!$A$6:$C$505,3,FALSE),"Lead ID not found"))</x:f>
      </x:c>
      <x:c r="E485" s="54"/>
      <x:c r="F485" s="54"/>
      <x:c r="G485" s="63"/>
      <x:c r="H485" s="54"/>
      <x:c r="I485" s="60"/>
      <x:c r="J485" s="54"/>
      <x:c r="K485" s="54"/>
      <x:c r="L485" s="54"/>
      <x:c r="M485" s="63"/>
    </x:row>
    <x:row r="486">
      <x:c r="A486" s="54"/>
      <x:c r="B486" s="60"/>
      <x:c r="C486" s="54"/>
      <x:c r="D486" s="57" t="str">
        <x:f>IF($C486="","",IFERROR(VLOOKUP($C486,'Leads'!$A$6:$C$505,3,FALSE),"Lead ID not found"))</x:f>
      </x:c>
      <x:c r="E486" s="54"/>
      <x:c r="F486" s="54"/>
      <x:c r="G486" s="63"/>
      <x:c r="H486" s="54"/>
      <x:c r="I486" s="60"/>
      <x:c r="J486" s="54"/>
      <x:c r="K486" s="54"/>
      <x:c r="L486" s="54"/>
      <x:c r="M486" s="63"/>
    </x:row>
    <x:row r="487">
      <x:c r="A487" s="54"/>
      <x:c r="B487" s="60"/>
      <x:c r="C487" s="54"/>
      <x:c r="D487" s="57" t="str">
        <x:f>IF($C487="","",IFERROR(VLOOKUP($C487,'Leads'!$A$6:$C$505,3,FALSE),"Lead ID not found"))</x:f>
      </x:c>
      <x:c r="E487" s="54"/>
      <x:c r="F487" s="54"/>
      <x:c r="G487" s="63"/>
      <x:c r="H487" s="54"/>
      <x:c r="I487" s="60"/>
      <x:c r="J487" s="54"/>
      <x:c r="K487" s="54"/>
      <x:c r="L487" s="54"/>
      <x:c r="M487" s="63"/>
    </x:row>
    <x:row r="488">
      <x:c r="A488" s="54"/>
      <x:c r="B488" s="60"/>
      <x:c r="C488" s="54"/>
      <x:c r="D488" s="57" t="str">
        <x:f>IF($C488="","",IFERROR(VLOOKUP($C488,'Leads'!$A$6:$C$505,3,FALSE),"Lead ID not found"))</x:f>
      </x:c>
      <x:c r="E488" s="54"/>
      <x:c r="F488" s="54"/>
      <x:c r="G488" s="63"/>
      <x:c r="H488" s="54"/>
      <x:c r="I488" s="60"/>
      <x:c r="J488" s="54"/>
      <x:c r="K488" s="54"/>
      <x:c r="L488" s="54"/>
      <x:c r="M488" s="63"/>
    </x:row>
    <x:row r="489">
      <x:c r="A489" s="54"/>
      <x:c r="B489" s="60"/>
      <x:c r="C489" s="54"/>
      <x:c r="D489" s="57" t="str">
        <x:f>IF($C489="","",IFERROR(VLOOKUP($C489,'Leads'!$A$6:$C$505,3,FALSE),"Lead ID not found"))</x:f>
      </x:c>
      <x:c r="E489" s="54"/>
      <x:c r="F489" s="54"/>
      <x:c r="G489" s="63"/>
      <x:c r="H489" s="54"/>
      <x:c r="I489" s="60"/>
      <x:c r="J489" s="54"/>
      <x:c r="K489" s="54"/>
      <x:c r="L489" s="54"/>
      <x:c r="M489" s="63"/>
    </x:row>
    <x:row r="490">
      <x:c r="A490" s="54"/>
      <x:c r="B490" s="60"/>
      <x:c r="C490" s="54"/>
      <x:c r="D490" s="57" t="str">
        <x:f>IF($C490="","",IFERROR(VLOOKUP($C490,'Leads'!$A$6:$C$505,3,FALSE),"Lead ID not found"))</x:f>
      </x:c>
      <x:c r="E490" s="54"/>
      <x:c r="F490" s="54"/>
      <x:c r="G490" s="63"/>
      <x:c r="H490" s="54"/>
      <x:c r="I490" s="60"/>
      <x:c r="J490" s="54"/>
      <x:c r="K490" s="54"/>
      <x:c r="L490" s="54"/>
      <x:c r="M490" s="63"/>
    </x:row>
    <x:row r="491">
      <x:c r="A491" s="54"/>
      <x:c r="B491" s="60"/>
      <x:c r="C491" s="54"/>
      <x:c r="D491" s="57" t="str">
        <x:f>IF($C491="","",IFERROR(VLOOKUP($C491,'Leads'!$A$6:$C$505,3,FALSE),"Lead ID not found"))</x:f>
      </x:c>
      <x:c r="E491" s="54"/>
      <x:c r="F491" s="54"/>
      <x:c r="G491" s="63"/>
      <x:c r="H491" s="54"/>
      <x:c r="I491" s="60"/>
      <x:c r="J491" s="54"/>
      <x:c r="K491" s="54"/>
      <x:c r="L491" s="54"/>
      <x:c r="M491" s="63"/>
    </x:row>
    <x:row r="492">
      <x:c r="A492" s="54"/>
      <x:c r="B492" s="60"/>
      <x:c r="C492" s="54"/>
      <x:c r="D492" s="57" t="str">
        <x:f>IF($C492="","",IFERROR(VLOOKUP($C492,'Leads'!$A$6:$C$505,3,FALSE),"Lead ID not found"))</x:f>
      </x:c>
      <x:c r="E492" s="54"/>
      <x:c r="F492" s="54"/>
      <x:c r="G492" s="63"/>
      <x:c r="H492" s="54"/>
      <x:c r="I492" s="60"/>
      <x:c r="J492" s="54"/>
      <x:c r="K492" s="54"/>
      <x:c r="L492" s="54"/>
      <x:c r="M492" s="63"/>
    </x:row>
    <x:row r="493">
      <x:c r="A493" s="54"/>
      <x:c r="B493" s="60"/>
      <x:c r="C493" s="54"/>
      <x:c r="D493" s="57" t="str">
        <x:f>IF($C493="","",IFERROR(VLOOKUP($C493,'Leads'!$A$6:$C$505,3,FALSE),"Lead ID not found"))</x:f>
      </x:c>
      <x:c r="E493" s="54"/>
      <x:c r="F493" s="54"/>
      <x:c r="G493" s="63"/>
      <x:c r="H493" s="54"/>
      <x:c r="I493" s="60"/>
      <x:c r="J493" s="54"/>
      <x:c r="K493" s="54"/>
      <x:c r="L493" s="54"/>
      <x:c r="M493" s="63"/>
    </x:row>
    <x:row r="494">
      <x:c r="A494" s="54"/>
      <x:c r="B494" s="60"/>
      <x:c r="C494" s="54"/>
      <x:c r="D494" s="57" t="str">
        <x:f>IF($C494="","",IFERROR(VLOOKUP($C494,'Leads'!$A$6:$C$505,3,FALSE),"Lead ID not found"))</x:f>
      </x:c>
      <x:c r="E494" s="54"/>
      <x:c r="F494" s="54"/>
      <x:c r="G494" s="63"/>
      <x:c r="H494" s="54"/>
      <x:c r="I494" s="60"/>
      <x:c r="J494" s="54"/>
      <x:c r="K494" s="54"/>
      <x:c r="L494" s="54"/>
      <x:c r="M494" s="63"/>
    </x:row>
    <x:row r="495">
      <x:c r="A495" s="54"/>
      <x:c r="B495" s="60"/>
      <x:c r="C495" s="54"/>
      <x:c r="D495" s="57" t="str">
        <x:f>IF($C495="","",IFERROR(VLOOKUP($C495,'Leads'!$A$6:$C$505,3,FALSE),"Lead ID not found"))</x:f>
      </x:c>
      <x:c r="E495" s="54"/>
      <x:c r="F495" s="54"/>
      <x:c r="G495" s="63"/>
      <x:c r="H495" s="54"/>
      <x:c r="I495" s="60"/>
      <x:c r="J495" s="54"/>
      <x:c r="K495" s="54"/>
      <x:c r="L495" s="54"/>
      <x:c r="M495" s="63"/>
    </x:row>
    <x:row r="496">
      <x:c r="A496" s="54"/>
      <x:c r="B496" s="60"/>
      <x:c r="C496" s="54"/>
      <x:c r="D496" s="57" t="str">
        <x:f>IF($C496="","",IFERROR(VLOOKUP($C496,'Leads'!$A$6:$C$505,3,FALSE),"Lead ID not found"))</x:f>
      </x:c>
      <x:c r="E496" s="54"/>
      <x:c r="F496" s="54"/>
      <x:c r="G496" s="63"/>
      <x:c r="H496" s="54"/>
      <x:c r="I496" s="60"/>
      <x:c r="J496" s="54"/>
      <x:c r="K496" s="54"/>
      <x:c r="L496" s="54"/>
      <x:c r="M496" s="63"/>
    </x:row>
    <x:row r="497">
      <x:c r="A497" s="54"/>
      <x:c r="B497" s="60"/>
      <x:c r="C497" s="54"/>
      <x:c r="D497" s="57" t="str">
        <x:f>IF($C497="","",IFERROR(VLOOKUP($C497,'Leads'!$A$6:$C$505,3,FALSE),"Lead ID not found"))</x:f>
      </x:c>
      <x:c r="E497" s="54"/>
      <x:c r="F497" s="54"/>
      <x:c r="G497" s="63"/>
      <x:c r="H497" s="54"/>
      <x:c r="I497" s="60"/>
      <x:c r="J497" s="54"/>
      <x:c r="K497" s="54"/>
      <x:c r="L497" s="54"/>
      <x:c r="M497" s="63"/>
    </x:row>
    <x:row r="498">
      <x:c r="A498" s="54"/>
      <x:c r="B498" s="60"/>
      <x:c r="C498" s="54"/>
      <x:c r="D498" s="57" t="str">
        <x:f>IF($C498="","",IFERROR(VLOOKUP($C498,'Leads'!$A$6:$C$505,3,FALSE),"Lead ID not found"))</x:f>
      </x:c>
      <x:c r="E498" s="54"/>
      <x:c r="F498" s="54"/>
      <x:c r="G498" s="63"/>
      <x:c r="H498" s="54"/>
      <x:c r="I498" s="60"/>
      <x:c r="J498" s="54"/>
      <x:c r="K498" s="54"/>
      <x:c r="L498" s="54"/>
      <x:c r="M498" s="63"/>
    </x:row>
    <x:row r="499">
      <x:c r="A499" s="54"/>
      <x:c r="B499" s="60"/>
      <x:c r="C499" s="54"/>
      <x:c r="D499" s="57" t="str">
        <x:f>IF($C499="","",IFERROR(VLOOKUP($C499,'Leads'!$A$6:$C$505,3,FALSE),"Lead ID not found"))</x:f>
      </x:c>
      <x:c r="E499" s="54"/>
      <x:c r="F499" s="54"/>
      <x:c r="G499" s="63"/>
      <x:c r="H499" s="54"/>
      <x:c r="I499" s="60"/>
      <x:c r="J499" s="54"/>
      <x:c r="K499" s="54"/>
      <x:c r="L499" s="54"/>
      <x:c r="M499" s="63"/>
    </x:row>
    <x:row r="500">
      <x:c r="A500" s="54"/>
      <x:c r="B500" s="60"/>
      <x:c r="C500" s="54"/>
      <x:c r="D500" s="57" t="str">
        <x:f>IF($C500="","",IFERROR(VLOOKUP($C500,'Leads'!$A$6:$C$505,3,FALSE),"Lead ID not found"))</x:f>
      </x:c>
      <x:c r="E500" s="54"/>
      <x:c r="F500" s="54"/>
      <x:c r="G500" s="63"/>
      <x:c r="H500" s="54"/>
      <x:c r="I500" s="60"/>
      <x:c r="J500" s="54"/>
      <x:c r="K500" s="54"/>
      <x:c r="L500" s="54"/>
      <x:c r="M500" s="63"/>
    </x:row>
    <x:row r="501">
      <x:c r="A501" s="54"/>
      <x:c r="B501" s="60"/>
      <x:c r="C501" s="54"/>
      <x:c r="D501" s="57" t="str">
        <x:f>IF($C501="","",IFERROR(VLOOKUP($C501,'Leads'!$A$6:$C$505,3,FALSE),"Lead ID not found"))</x:f>
      </x:c>
      <x:c r="E501" s="54"/>
      <x:c r="F501" s="54"/>
      <x:c r="G501" s="63"/>
      <x:c r="H501" s="54"/>
      <x:c r="I501" s="60"/>
      <x:c r="J501" s="54"/>
      <x:c r="K501" s="54"/>
      <x:c r="L501" s="54"/>
      <x:c r="M501" s="63"/>
    </x:row>
    <x:row r="502">
      <x:c r="A502" s="54"/>
      <x:c r="B502" s="60"/>
      <x:c r="C502" s="54"/>
      <x:c r="D502" s="57" t="str">
        <x:f>IF($C502="","",IFERROR(VLOOKUP($C502,'Leads'!$A$6:$C$505,3,FALSE),"Lead ID not found"))</x:f>
      </x:c>
      <x:c r="E502" s="54"/>
      <x:c r="F502" s="54"/>
      <x:c r="G502" s="63"/>
      <x:c r="H502" s="54"/>
      <x:c r="I502" s="60"/>
      <x:c r="J502" s="54"/>
      <x:c r="K502" s="54"/>
      <x:c r="L502" s="54"/>
      <x:c r="M502" s="63"/>
    </x:row>
    <x:row r="503">
      <x:c r="A503" s="54"/>
      <x:c r="B503" s="60"/>
      <x:c r="C503" s="54"/>
      <x:c r="D503" s="57" t="str">
        <x:f>IF($C503="","",IFERROR(VLOOKUP($C503,'Leads'!$A$6:$C$505,3,FALSE),"Lead ID not found"))</x:f>
      </x:c>
      <x:c r="E503" s="54"/>
      <x:c r="F503" s="54"/>
      <x:c r="G503" s="63"/>
      <x:c r="H503" s="54"/>
      <x:c r="I503" s="60"/>
      <x:c r="J503" s="54"/>
      <x:c r="K503" s="54"/>
      <x:c r="L503" s="54"/>
      <x:c r="M503" s="63"/>
    </x:row>
    <x:row r="504">
      <x:c r="A504" s="54"/>
      <x:c r="B504" s="60"/>
      <x:c r="C504" s="54"/>
      <x:c r="D504" s="57" t="str">
        <x:f>IF($C504="","",IFERROR(VLOOKUP($C504,'Leads'!$A$6:$C$505,3,FALSE),"Lead ID not found"))</x:f>
      </x:c>
      <x:c r="E504" s="54"/>
      <x:c r="F504" s="54"/>
      <x:c r="G504" s="63"/>
      <x:c r="H504" s="54"/>
      <x:c r="I504" s="60"/>
      <x:c r="J504" s="54"/>
      <x:c r="K504" s="54"/>
      <x:c r="L504" s="54"/>
      <x:c r="M504" s="63"/>
    </x:row>
    <x:row r="505">
      <x:c r="A505" s="54"/>
      <x:c r="B505" s="60"/>
      <x:c r="C505" s="54"/>
      <x:c r="D505" s="57" t="str">
        <x:f>IF($C505="","",IFERROR(VLOOKUP($C505,'Leads'!$A$6:$C$505,3,FALSE),"Lead ID not found"))</x:f>
      </x:c>
      <x:c r="E505" s="54"/>
      <x:c r="F505" s="54"/>
      <x:c r="G505" s="63"/>
      <x:c r="H505" s="54"/>
      <x:c r="I505" s="60"/>
      <x:c r="J505" s="54"/>
      <x:c r="K505" s="54"/>
      <x:c r="L505" s="54"/>
      <x:c r="M505" s="63"/>
    </x:row>
    <x:row r="506">
      <x:c r="A506" s="54"/>
      <x:c r="B506" s="60"/>
      <x:c r="C506" s="54"/>
      <x:c r="D506" s="57" t="str">
        <x:f>IF($C506="","",IFERROR(VLOOKUP($C506,'Leads'!$A$6:$C$505,3,FALSE),"Lead ID not found"))</x:f>
      </x:c>
      <x:c r="E506" s="54"/>
      <x:c r="F506" s="54"/>
      <x:c r="G506" s="63"/>
      <x:c r="H506" s="54"/>
      <x:c r="I506" s="60"/>
      <x:c r="J506" s="54"/>
      <x:c r="K506" s="54"/>
      <x:c r="L506" s="54"/>
      <x:c r="M506" s="63"/>
    </x:row>
    <x:row r="507">
      <x:c r="A507" s="54"/>
      <x:c r="B507" s="60"/>
      <x:c r="C507" s="54"/>
      <x:c r="D507" s="57" t="str">
        <x:f>IF($C507="","",IFERROR(VLOOKUP($C507,'Leads'!$A$6:$C$505,3,FALSE),"Lead ID not found"))</x:f>
      </x:c>
      <x:c r="E507" s="54"/>
      <x:c r="F507" s="54"/>
      <x:c r="G507" s="63"/>
      <x:c r="H507" s="54"/>
      <x:c r="I507" s="60"/>
      <x:c r="J507" s="54"/>
      <x:c r="K507" s="54"/>
      <x:c r="L507" s="54"/>
      <x:c r="M507" s="63"/>
    </x:row>
    <x:row r="508">
      <x:c r="A508" s="54"/>
      <x:c r="B508" s="60"/>
      <x:c r="C508" s="54"/>
      <x:c r="D508" s="57" t="str">
        <x:f>IF($C508="","",IFERROR(VLOOKUP($C508,'Leads'!$A$6:$C$505,3,FALSE),"Lead ID not found"))</x:f>
      </x:c>
      <x:c r="E508" s="54"/>
      <x:c r="F508" s="54"/>
      <x:c r="G508" s="63"/>
      <x:c r="H508" s="54"/>
      <x:c r="I508" s="60"/>
      <x:c r="J508" s="54"/>
      <x:c r="K508" s="54"/>
      <x:c r="L508" s="54"/>
      <x:c r="M508" s="63"/>
    </x:row>
    <x:row r="509">
      <x:c r="A509" s="54"/>
      <x:c r="B509" s="60"/>
      <x:c r="C509" s="54"/>
      <x:c r="D509" s="57" t="str">
        <x:f>IF($C509="","",IFERROR(VLOOKUP($C509,'Leads'!$A$6:$C$505,3,FALSE),"Lead ID not found"))</x:f>
      </x:c>
      <x:c r="E509" s="54"/>
      <x:c r="F509" s="54"/>
      <x:c r="G509" s="63"/>
      <x:c r="H509" s="54"/>
      <x:c r="I509" s="60"/>
      <x:c r="J509" s="54"/>
      <x:c r="K509" s="54"/>
      <x:c r="L509" s="54"/>
      <x:c r="M509" s="63"/>
    </x:row>
    <x:row r="510">
      <x:c r="A510" s="54"/>
      <x:c r="B510" s="60"/>
      <x:c r="C510" s="54"/>
      <x:c r="D510" s="57" t="str">
        <x:f>IF($C510="","",IFERROR(VLOOKUP($C510,'Leads'!$A$6:$C$505,3,FALSE),"Lead ID not found"))</x:f>
      </x:c>
      <x:c r="E510" s="54"/>
      <x:c r="F510" s="54"/>
      <x:c r="G510" s="63"/>
      <x:c r="H510" s="54"/>
      <x:c r="I510" s="60"/>
      <x:c r="J510" s="54"/>
      <x:c r="K510" s="54"/>
      <x:c r="L510" s="54"/>
      <x:c r="M510" s="63"/>
    </x:row>
    <x:row r="511">
      <x:c r="A511" s="54"/>
      <x:c r="B511" s="60"/>
      <x:c r="C511" s="54"/>
      <x:c r="D511" s="57" t="str">
        <x:f>IF($C511="","",IFERROR(VLOOKUP($C511,'Leads'!$A$6:$C$505,3,FALSE),"Lead ID not found"))</x:f>
      </x:c>
      <x:c r="E511" s="54"/>
      <x:c r="F511" s="54"/>
      <x:c r="G511" s="63"/>
      <x:c r="H511" s="54"/>
      <x:c r="I511" s="60"/>
      <x:c r="J511" s="54"/>
      <x:c r="K511" s="54"/>
      <x:c r="L511" s="54"/>
      <x:c r="M511" s="63"/>
    </x:row>
    <x:row r="512">
      <x:c r="A512" s="54"/>
      <x:c r="B512" s="60"/>
      <x:c r="C512" s="54"/>
      <x:c r="D512" s="57" t="str">
        <x:f>IF($C512="","",IFERROR(VLOOKUP($C512,'Leads'!$A$6:$C$505,3,FALSE),"Lead ID not found"))</x:f>
      </x:c>
      <x:c r="E512" s="54"/>
      <x:c r="F512" s="54"/>
      <x:c r="G512" s="63"/>
      <x:c r="H512" s="54"/>
      <x:c r="I512" s="60"/>
      <x:c r="J512" s="54"/>
      <x:c r="K512" s="54"/>
      <x:c r="L512" s="54"/>
      <x:c r="M512" s="63"/>
    </x:row>
    <x:row r="513">
      <x:c r="A513" s="54"/>
      <x:c r="B513" s="60"/>
      <x:c r="C513" s="54"/>
      <x:c r="D513" s="57" t="str">
        <x:f>IF($C513="","",IFERROR(VLOOKUP($C513,'Leads'!$A$6:$C$505,3,FALSE),"Lead ID not found"))</x:f>
      </x:c>
      <x:c r="E513" s="54"/>
      <x:c r="F513" s="54"/>
      <x:c r="G513" s="63"/>
      <x:c r="H513" s="54"/>
      <x:c r="I513" s="60"/>
      <x:c r="J513" s="54"/>
      <x:c r="K513" s="54"/>
      <x:c r="L513" s="54"/>
      <x:c r="M513" s="63"/>
    </x:row>
    <x:row r="514">
      <x:c r="A514" s="54"/>
      <x:c r="B514" s="60"/>
      <x:c r="C514" s="54"/>
      <x:c r="D514" s="57" t="str">
        <x:f>IF($C514="","",IFERROR(VLOOKUP($C514,'Leads'!$A$6:$C$505,3,FALSE),"Lead ID not found"))</x:f>
      </x:c>
      <x:c r="E514" s="54"/>
      <x:c r="F514" s="54"/>
      <x:c r="G514" s="63"/>
      <x:c r="H514" s="54"/>
      <x:c r="I514" s="60"/>
      <x:c r="J514" s="54"/>
      <x:c r="K514" s="54"/>
      <x:c r="L514" s="54"/>
      <x:c r="M514" s="63"/>
    </x:row>
    <x:row r="515">
      <x:c r="A515" s="54"/>
      <x:c r="B515" s="60"/>
      <x:c r="C515" s="54"/>
      <x:c r="D515" s="57" t="str">
        <x:f>IF($C515="","",IFERROR(VLOOKUP($C515,'Leads'!$A$6:$C$505,3,FALSE),"Lead ID not found"))</x:f>
      </x:c>
      <x:c r="E515" s="54"/>
      <x:c r="F515" s="54"/>
      <x:c r="G515" s="63"/>
      <x:c r="H515" s="54"/>
      <x:c r="I515" s="60"/>
      <x:c r="J515" s="54"/>
      <x:c r="K515" s="54"/>
      <x:c r="L515" s="54"/>
      <x:c r="M515" s="63"/>
    </x:row>
    <x:row r="516">
      <x:c r="A516" s="54"/>
      <x:c r="B516" s="60"/>
      <x:c r="C516" s="54"/>
      <x:c r="D516" s="57" t="str">
        <x:f>IF($C516="","",IFERROR(VLOOKUP($C516,'Leads'!$A$6:$C$505,3,FALSE),"Lead ID not found"))</x:f>
      </x:c>
      <x:c r="E516" s="54"/>
      <x:c r="F516" s="54"/>
      <x:c r="G516" s="63"/>
      <x:c r="H516" s="54"/>
      <x:c r="I516" s="60"/>
      <x:c r="J516" s="54"/>
      <x:c r="K516" s="54"/>
      <x:c r="L516" s="54"/>
      <x:c r="M516" s="63"/>
    </x:row>
    <x:row r="517">
      <x:c r="A517" s="54"/>
      <x:c r="B517" s="60"/>
      <x:c r="C517" s="54"/>
      <x:c r="D517" s="57" t="str">
        <x:f>IF($C517="","",IFERROR(VLOOKUP($C517,'Leads'!$A$6:$C$505,3,FALSE),"Lead ID not found"))</x:f>
      </x:c>
      <x:c r="E517" s="54"/>
      <x:c r="F517" s="54"/>
      <x:c r="G517" s="63"/>
      <x:c r="H517" s="54"/>
      <x:c r="I517" s="60"/>
      <x:c r="J517" s="54"/>
      <x:c r="K517" s="54"/>
      <x:c r="L517" s="54"/>
      <x:c r="M517" s="63"/>
    </x:row>
    <x:row r="518">
      <x:c r="A518" s="54"/>
      <x:c r="B518" s="60"/>
      <x:c r="C518" s="54"/>
      <x:c r="D518" s="57" t="str">
        <x:f>IF($C518="","",IFERROR(VLOOKUP($C518,'Leads'!$A$6:$C$505,3,FALSE),"Lead ID not found"))</x:f>
      </x:c>
      <x:c r="E518" s="54"/>
      <x:c r="F518" s="54"/>
      <x:c r="G518" s="63"/>
      <x:c r="H518" s="54"/>
      <x:c r="I518" s="60"/>
      <x:c r="J518" s="54"/>
      <x:c r="K518" s="54"/>
      <x:c r="L518" s="54"/>
      <x:c r="M518" s="63"/>
    </x:row>
    <x:row r="519">
      <x:c r="A519" s="54"/>
      <x:c r="B519" s="60"/>
      <x:c r="C519" s="54"/>
      <x:c r="D519" s="57" t="str">
        <x:f>IF($C519="","",IFERROR(VLOOKUP($C519,'Leads'!$A$6:$C$505,3,FALSE),"Lead ID not found"))</x:f>
      </x:c>
      <x:c r="E519" s="54"/>
      <x:c r="F519" s="54"/>
      <x:c r="G519" s="63"/>
      <x:c r="H519" s="54"/>
      <x:c r="I519" s="60"/>
      <x:c r="J519" s="54"/>
      <x:c r="K519" s="54"/>
      <x:c r="L519" s="54"/>
      <x:c r="M519" s="63"/>
    </x:row>
    <x:row r="520">
      <x:c r="A520" s="54"/>
      <x:c r="B520" s="60"/>
      <x:c r="C520" s="54"/>
      <x:c r="D520" s="57" t="str">
        <x:f>IF($C520="","",IFERROR(VLOOKUP($C520,'Leads'!$A$6:$C$505,3,FALSE),"Lead ID not found"))</x:f>
      </x:c>
      <x:c r="E520" s="54"/>
      <x:c r="F520" s="54"/>
      <x:c r="G520" s="63"/>
      <x:c r="H520" s="54"/>
      <x:c r="I520" s="60"/>
      <x:c r="J520" s="54"/>
      <x:c r="K520" s="54"/>
      <x:c r="L520" s="54"/>
      <x:c r="M520" s="63"/>
    </x:row>
    <x:row r="521">
      <x:c r="A521" s="54"/>
      <x:c r="B521" s="60"/>
      <x:c r="C521" s="54"/>
      <x:c r="D521" s="57" t="str">
        <x:f>IF($C521="","",IFERROR(VLOOKUP($C521,'Leads'!$A$6:$C$505,3,FALSE),"Lead ID not found"))</x:f>
      </x:c>
      <x:c r="E521" s="54"/>
      <x:c r="F521" s="54"/>
      <x:c r="G521" s="63"/>
      <x:c r="H521" s="54"/>
      <x:c r="I521" s="60"/>
      <x:c r="J521" s="54"/>
      <x:c r="K521" s="54"/>
      <x:c r="L521" s="54"/>
      <x:c r="M521" s="63"/>
    </x:row>
    <x:row r="522">
      <x:c r="A522" s="54"/>
      <x:c r="B522" s="60"/>
      <x:c r="C522" s="54"/>
      <x:c r="D522" s="57" t="str">
        <x:f>IF($C522="","",IFERROR(VLOOKUP($C522,'Leads'!$A$6:$C$505,3,FALSE),"Lead ID not found"))</x:f>
      </x:c>
      <x:c r="E522" s="54"/>
      <x:c r="F522" s="54"/>
      <x:c r="G522" s="63"/>
      <x:c r="H522" s="54"/>
      <x:c r="I522" s="60"/>
      <x:c r="J522" s="54"/>
      <x:c r="K522" s="54"/>
      <x:c r="L522" s="54"/>
      <x:c r="M522" s="63"/>
    </x:row>
    <x:row r="523">
      <x:c r="A523" s="54"/>
      <x:c r="B523" s="60"/>
      <x:c r="C523" s="54"/>
      <x:c r="D523" s="57" t="str">
        <x:f>IF($C523="","",IFERROR(VLOOKUP($C523,'Leads'!$A$6:$C$505,3,FALSE),"Lead ID not found"))</x:f>
      </x:c>
      <x:c r="E523" s="54"/>
      <x:c r="F523" s="54"/>
      <x:c r="G523" s="63"/>
      <x:c r="H523" s="54"/>
      <x:c r="I523" s="60"/>
      <x:c r="J523" s="54"/>
      <x:c r="K523" s="54"/>
      <x:c r="L523" s="54"/>
      <x:c r="M523" s="63"/>
    </x:row>
    <x:row r="524">
      <x:c r="A524" s="54"/>
      <x:c r="B524" s="60"/>
      <x:c r="C524" s="54"/>
      <x:c r="D524" s="57" t="str">
        <x:f>IF($C524="","",IFERROR(VLOOKUP($C524,'Leads'!$A$6:$C$505,3,FALSE),"Lead ID not found"))</x:f>
      </x:c>
      <x:c r="E524" s="54"/>
      <x:c r="F524" s="54"/>
      <x:c r="G524" s="63"/>
      <x:c r="H524" s="54"/>
      <x:c r="I524" s="60"/>
      <x:c r="J524" s="54"/>
      <x:c r="K524" s="54"/>
      <x:c r="L524" s="54"/>
      <x:c r="M524" s="63"/>
    </x:row>
    <x:row r="525">
      <x:c r="A525" s="54"/>
      <x:c r="B525" s="60"/>
      <x:c r="C525" s="54"/>
      <x:c r="D525" s="57" t="str">
        <x:f>IF($C525="","",IFERROR(VLOOKUP($C525,'Leads'!$A$6:$C$505,3,FALSE),"Lead ID not found"))</x:f>
      </x:c>
      <x:c r="E525" s="54"/>
      <x:c r="F525" s="54"/>
      <x:c r="G525" s="63"/>
      <x:c r="H525" s="54"/>
      <x:c r="I525" s="60"/>
      <x:c r="J525" s="54"/>
      <x:c r="K525" s="54"/>
      <x:c r="L525" s="54"/>
      <x:c r="M525" s="63"/>
    </x:row>
    <x:row r="526">
      <x:c r="A526" s="54"/>
      <x:c r="B526" s="60"/>
      <x:c r="C526" s="54"/>
      <x:c r="D526" s="57" t="str">
        <x:f>IF($C526="","",IFERROR(VLOOKUP($C526,'Leads'!$A$6:$C$505,3,FALSE),"Lead ID not found"))</x:f>
      </x:c>
      <x:c r="E526" s="54"/>
      <x:c r="F526" s="54"/>
      <x:c r="G526" s="63"/>
      <x:c r="H526" s="54"/>
      <x:c r="I526" s="60"/>
      <x:c r="J526" s="54"/>
      <x:c r="K526" s="54"/>
      <x:c r="L526" s="54"/>
      <x:c r="M526" s="63"/>
    </x:row>
    <x:row r="527">
      <x:c r="A527" s="54"/>
      <x:c r="B527" s="60"/>
      <x:c r="C527" s="54"/>
      <x:c r="D527" s="57" t="str">
        <x:f>IF($C527="","",IFERROR(VLOOKUP($C527,'Leads'!$A$6:$C$505,3,FALSE),"Lead ID not found"))</x:f>
      </x:c>
      <x:c r="E527" s="54"/>
      <x:c r="F527" s="54"/>
      <x:c r="G527" s="63"/>
      <x:c r="H527" s="54"/>
      <x:c r="I527" s="60"/>
      <x:c r="J527" s="54"/>
      <x:c r="K527" s="54"/>
      <x:c r="L527" s="54"/>
      <x:c r="M527" s="63"/>
    </x:row>
    <x:row r="528">
      <x:c r="A528" s="54"/>
      <x:c r="B528" s="60"/>
      <x:c r="C528" s="54"/>
      <x:c r="D528" s="57" t="str">
        <x:f>IF($C528="","",IFERROR(VLOOKUP($C528,'Leads'!$A$6:$C$505,3,FALSE),"Lead ID not found"))</x:f>
      </x:c>
      <x:c r="E528" s="54"/>
      <x:c r="F528" s="54"/>
      <x:c r="G528" s="63"/>
      <x:c r="H528" s="54"/>
      <x:c r="I528" s="60"/>
      <x:c r="J528" s="54"/>
      <x:c r="K528" s="54"/>
      <x:c r="L528" s="54"/>
      <x:c r="M528" s="63"/>
    </x:row>
    <x:row r="529">
      <x:c r="A529" s="54"/>
      <x:c r="B529" s="60"/>
      <x:c r="C529" s="54"/>
      <x:c r="D529" s="57" t="str">
        <x:f>IF($C529="","",IFERROR(VLOOKUP($C529,'Leads'!$A$6:$C$505,3,FALSE),"Lead ID not found"))</x:f>
      </x:c>
      <x:c r="E529" s="54"/>
      <x:c r="F529" s="54"/>
      <x:c r="G529" s="63"/>
      <x:c r="H529" s="54"/>
      <x:c r="I529" s="60"/>
      <x:c r="J529" s="54"/>
      <x:c r="K529" s="54"/>
      <x:c r="L529" s="54"/>
      <x:c r="M529" s="63"/>
    </x:row>
    <x:row r="530">
      <x:c r="A530" s="54"/>
      <x:c r="B530" s="60"/>
      <x:c r="C530" s="54"/>
      <x:c r="D530" s="57" t="str">
        <x:f>IF($C530="","",IFERROR(VLOOKUP($C530,'Leads'!$A$6:$C$505,3,FALSE),"Lead ID not found"))</x:f>
      </x:c>
      <x:c r="E530" s="54"/>
      <x:c r="F530" s="54"/>
      <x:c r="G530" s="63"/>
      <x:c r="H530" s="54"/>
      <x:c r="I530" s="60"/>
      <x:c r="J530" s="54"/>
      <x:c r="K530" s="54"/>
      <x:c r="L530" s="54"/>
      <x:c r="M530" s="63"/>
    </x:row>
    <x:row r="531">
      <x:c r="A531" s="54"/>
      <x:c r="B531" s="60"/>
      <x:c r="C531" s="54"/>
      <x:c r="D531" s="57" t="str">
        <x:f>IF($C531="","",IFERROR(VLOOKUP($C531,'Leads'!$A$6:$C$505,3,FALSE),"Lead ID not found"))</x:f>
      </x:c>
      <x:c r="E531" s="54"/>
      <x:c r="F531" s="54"/>
      <x:c r="G531" s="63"/>
      <x:c r="H531" s="54"/>
      <x:c r="I531" s="60"/>
      <x:c r="J531" s="54"/>
      <x:c r="K531" s="54"/>
      <x:c r="L531" s="54"/>
      <x:c r="M531" s="63"/>
    </x:row>
    <x:row r="532">
      <x:c r="A532" s="54"/>
      <x:c r="B532" s="60"/>
      <x:c r="C532" s="54"/>
      <x:c r="D532" s="57" t="str">
        <x:f>IF($C532="","",IFERROR(VLOOKUP($C532,'Leads'!$A$6:$C$505,3,FALSE),"Lead ID not found"))</x:f>
      </x:c>
      <x:c r="E532" s="54"/>
      <x:c r="F532" s="54"/>
      <x:c r="G532" s="63"/>
      <x:c r="H532" s="54"/>
      <x:c r="I532" s="60"/>
      <x:c r="J532" s="54"/>
      <x:c r="K532" s="54"/>
      <x:c r="L532" s="54"/>
      <x:c r="M532" s="63"/>
    </x:row>
    <x:row r="533">
      <x:c r="A533" s="54"/>
      <x:c r="B533" s="60"/>
      <x:c r="C533" s="54"/>
      <x:c r="D533" s="57" t="str">
        <x:f>IF($C533="","",IFERROR(VLOOKUP($C533,'Leads'!$A$6:$C$505,3,FALSE),"Lead ID not found"))</x:f>
      </x:c>
      <x:c r="E533" s="54"/>
      <x:c r="F533" s="54"/>
      <x:c r="G533" s="63"/>
      <x:c r="H533" s="54"/>
      <x:c r="I533" s="60"/>
      <x:c r="J533" s="54"/>
      <x:c r="K533" s="54"/>
      <x:c r="L533" s="54"/>
      <x:c r="M533" s="63"/>
    </x:row>
    <x:row r="534">
      <x:c r="A534" s="54"/>
      <x:c r="B534" s="60"/>
      <x:c r="C534" s="54"/>
      <x:c r="D534" s="57" t="str">
        <x:f>IF($C534="","",IFERROR(VLOOKUP($C534,'Leads'!$A$6:$C$505,3,FALSE),"Lead ID not found"))</x:f>
      </x:c>
      <x:c r="E534" s="54"/>
      <x:c r="F534" s="54"/>
      <x:c r="G534" s="63"/>
      <x:c r="H534" s="54"/>
      <x:c r="I534" s="60"/>
      <x:c r="J534" s="54"/>
      <x:c r="K534" s="54"/>
      <x:c r="L534" s="54"/>
      <x:c r="M534" s="63"/>
    </x:row>
    <x:row r="535">
      <x:c r="A535" s="54"/>
      <x:c r="B535" s="60"/>
      <x:c r="C535" s="54"/>
      <x:c r="D535" s="57" t="str">
        <x:f>IF($C535="","",IFERROR(VLOOKUP($C535,'Leads'!$A$6:$C$505,3,FALSE),"Lead ID not found"))</x:f>
      </x:c>
      <x:c r="E535" s="54"/>
      <x:c r="F535" s="54"/>
      <x:c r="G535" s="63"/>
      <x:c r="H535" s="54"/>
      <x:c r="I535" s="60"/>
      <x:c r="J535" s="54"/>
      <x:c r="K535" s="54"/>
      <x:c r="L535" s="54"/>
      <x:c r="M535" s="63"/>
    </x:row>
    <x:row r="536">
      <x:c r="A536" s="54"/>
      <x:c r="B536" s="60"/>
      <x:c r="C536" s="54"/>
      <x:c r="D536" s="57" t="str">
        <x:f>IF($C536="","",IFERROR(VLOOKUP($C536,'Leads'!$A$6:$C$505,3,FALSE),"Lead ID not found"))</x:f>
      </x:c>
      <x:c r="E536" s="54"/>
      <x:c r="F536" s="54"/>
      <x:c r="G536" s="63"/>
      <x:c r="H536" s="54"/>
      <x:c r="I536" s="60"/>
      <x:c r="J536" s="54"/>
      <x:c r="K536" s="54"/>
      <x:c r="L536" s="54"/>
      <x:c r="M536" s="63"/>
    </x:row>
    <x:row r="537">
      <x:c r="A537" s="54"/>
      <x:c r="B537" s="60"/>
      <x:c r="C537" s="54"/>
      <x:c r="D537" s="57" t="str">
        <x:f>IF($C537="","",IFERROR(VLOOKUP($C537,'Leads'!$A$6:$C$505,3,FALSE),"Lead ID not found"))</x:f>
      </x:c>
      <x:c r="E537" s="54"/>
      <x:c r="F537" s="54"/>
      <x:c r="G537" s="63"/>
      <x:c r="H537" s="54"/>
      <x:c r="I537" s="60"/>
      <x:c r="J537" s="54"/>
      <x:c r="K537" s="54"/>
      <x:c r="L537" s="54"/>
      <x:c r="M537" s="63"/>
    </x:row>
    <x:row r="538">
      <x:c r="A538" s="54"/>
      <x:c r="B538" s="60"/>
      <x:c r="C538" s="54"/>
      <x:c r="D538" s="57" t="str">
        <x:f>IF($C538="","",IFERROR(VLOOKUP($C538,'Leads'!$A$6:$C$505,3,FALSE),"Lead ID not found"))</x:f>
      </x:c>
      <x:c r="E538" s="54"/>
      <x:c r="F538" s="54"/>
      <x:c r="G538" s="63"/>
      <x:c r="H538" s="54"/>
      <x:c r="I538" s="60"/>
      <x:c r="J538" s="54"/>
      <x:c r="K538" s="54"/>
      <x:c r="L538" s="54"/>
      <x:c r="M538" s="63"/>
    </x:row>
    <x:row r="539">
      <x:c r="A539" s="54"/>
      <x:c r="B539" s="60"/>
      <x:c r="C539" s="54"/>
      <x:c r="D539" s="57" t="str">
        <x:f>IF($C539="","",IFERROR(VLOOKUP($C539,'Leads'!$A$6:$C$505,3,FALSE),"Lead ID not found"))</x:f>
      </x:c>
      <x:c r="E539" s="54"/>
      <x:c r="F539" s="54"/>
      <x:c r="G539" s="63"/>
      <x:c r="H539" s="54"/>
      <x:c r="I539" s="60"/>
      <x:c r="J539" s="54"/>
      <x:c r="K539" s="54"/>
      <x:c r="L539" s="54"/>
      <x:c r="M539" s="63"/>
    </x:row>
    <x:row r="540">
      <x:c r="A540" s="54"/>
      <x:c r="B540" s="60"/>
      <x:c r="C540" s="54"/>
      <x:c r="D540" s="57" t="str">
        <x:f>IF($C540="","",IFERROR(VLOOKUP($C540,'Leads'!$A$6:$C$505,3,FALSE),"Lead ID not found"))</x:f>
      </x:c>
      <x:c r="E540" s="54"/>
      <x:c r="F540" s="54"/>
      <x:c r="G540" s="63"/>
      <x:c r="H540" s="54"/>
      <x:c r="I540" s="60"/>
      <x:c r="J540" s="54"/>
      <x:c r="K540" s="54"/>
      <x:c r="L540" s="54"/>
      <x:c r="M540" s="63"/>
    </x:row>
    <x:row r="541">
      <x:c r="A541" s="54"/>
      <x:c r="B541" s="60"/>
      <x:c r="C541" s="54"/>
      <x:c r="D541" s="57" t="str">
        <x:f>IF($C541="","",IFERROR(VLOOKUP($C541,'Leads'!$A$6:$C$505,3,FALSE),"Lead ID not found"))</x:f>
      </x:c>
      <x:c r="E541" s="54"/>
      <x:c r="F541" s="54"/>
      <x:c r="G541" s="63"/>
      <x:c r="H541" s="54"/>
      <x:c r="I541" s="60"/>
      <x:c r="J541" s="54"/>
      <x:c r="K541" s="54"/>
      <x:c r="L541" s="54"/>
      <x:c r="M541" s="63"/>
    </x:row>
    <x:row r="542">
      <x:c r="A542" s="54"/>
      <x:c r="B542" s="60"/>
      <x:c r="C542" s="54"/>
      <x:c r="D542" s="57" t="str">
        <x:f>IF($C542="","",IFERROR(VLOOKUP($C542,'Leads'!$A$6:$C$505,3,FALSE),"Lead ID not found"))</x:f>
      </x:c>
      <x:c r="E542" s="54"/>
      <x:c r="F542" s="54"/>
      <x:c r="G542" s="63"/>
      <x:c r="H542" s="54"/>
      <x:c r="I542" s="60"/>
      <x:c r="J542" s="54"/>
      <x:c r="K542" s="54"/>
      <x:c r="L542" s="54"/>
      <x:c r="M542" s="63"/>
    </x:row>
    <x:row r="543">
      <x:c r="A543" s="54"/>
      <x:c r="B543" s="60"/>
      <x:c r="C543" s="54"/>
      <x:c r="D543" s="57" t="str">
        <x:f>IF($C543="","",IFERROR(VLOOKUP($C543,'Leads'!$A$6:$C$505,3,FALSE),"Lead ID not found"))</x:f>
      </x:c>
      <x:c r="E543" s="54"/>
      <x:c r="F543" s="54"/>
      <x:c r="G543" s="63"/>
      <x:c r="H543" s="54"/>
      <x:c r="I543" s="60"/>
      <x:c r="J543" s="54"/>
      <x:c r="K543" s="54"/>
      <x:c r="L543" s="54"/>
      <x:c r="M543" s="63"/>
    </x:row>
    <x:row r="544">
      <x:c r="A544" s="54"/>
      <x:c r="B544" s="60"/>
      <x:c r="C544" s="54"/>
      <x:c r="D544" s="57" t="str">
        <x:f>IF($C544="","",IFERROR(VLOOKUP($C544,'Leads'!$A$6:$C$505,3,FALSE),"Lead ID not found"))</x:f>
      </x:c>
      <x:c r="E544" s="54"/>
      <x:c r="F544" s="54"/>
      <x:c r="G544" s="63"/>
      <x:c r="H544" s="54"/>
      <x:c r="I544" s="60"/>
      <x:c r="J544" s="54"/>
      <x:c r="K544" s="54"/>
      <x:c r="L544" s="54"/>
      <x:c r="M544" s="63"/>
    </x:row>
    <x:row r="545">
      <x:c r="A545" s="54"/>
      <x:c r="B545" s="60"/>
      <x:c r="C545" s="54"/>
      <x:c r="D545" s="57" t="str">
        <x:f>IF($C545="","",IFERROR(VLOOKUP($C545,'Leads'!$A$6:$C$505,3,FALSE),"Lead ID not found"))</x:f>
      </x:c>
      <x:c r="E545" s="54"/>
      <x:c r="F545" s="54"/>
      <x:c r="G545" s="63"/>
      <x:c r="H545" s="54"/>
      <x:c r="I545" s="60"/>
      <x:c r="J545" s="54"/>
      <x:c r="K545" s="54"/>
      <x:c r="L545" s="54"/>
      <x:c r="M545" s="63"/>
    </x:row>
    <x:row r="546">
      <x:c r="A546" s="54"/>
      <x:c r="B546" s="60"/>
      <x:c r="C546" s="54"/>
      <x:c r="D546" s="57" t="str">
        <x:f>IF($C546="","",IFERROR(VLOOKUP($C546,'Leads'!$A$6:$C$505,3,FALSE),"Lead ID not found"))</x:f>
      </x:c>
      <x:c r="E546" s="54"/>
      <x:c r="F546" s="54"/>
      <x:c r="G546" s="63"/>
      <x:c r="H546" s="54"/>
      <x:c r="I546" s="60"/>
      <x:c r="J546" s="54"/>
      <x:c r="K546" s="54"/>
      <x:c r="L546" s="54"/>
      <x:c r="M546" s="63"/>
    </x:row>
    <x:row r="547">
      <x:c r="A547" s="54"/>
      <x:c r="B547" s="60"/>
      <x:c r="C547" s="54"/>
      <x:c r="D547" s="57" t="str">
        <x:f>IF($C547="","",IFERROR(VLOOKUP($C547,'Leads'!$A$6:$C$505,3,FALSE),"Lead ID not found"))</x:f>
      </x:c>
      <x:c r="E547" s="54"/>
      <x:c r="F547" s="54"/>
      <x:c r="G547" s="63"/>
      <x:c r="H547" s="54"/>
      <x:c r="I547" s="60"/>
      <x:c r="J547" s="54"/>
      <x:c r="K547" s="54"/>
      <x:c r="L547" s="54"/>
      <x:c r="M547" s="63"/>
    </x:row>
    <x:row r="548">
      <x:c r="A548" s="54"/>
      <x:c r="B548" s="60"/>
      <x:c r="C548" s="54"/>
      <x:c r="D548" s="57" t="str">
        <x:f>IF($C548="","",IFERROR(VLOOKUP($C548,'Leads'!$A$6:$C$505,3,FALSE),"Lead ID not found"))</x:f>
      </x:c>
      <x:c r="E548" s="54"/>
      <x:c r="F548" s="54"/>
      <x:c r="G548" s="63"/>
      <x:c r="H548" s="54"/>
      <x:c r="I548" s="60"/>
      <x:c r="J548" s="54"/>
      <x:c r="K548" s="54"/>
      <x:c r="L548" s="54"/>
      <x:c r="M548" s="63"/>
    </x:row>
    <x:row r="549">
      <x:c r="A549" s="54"/>
      <x:c r="B549" s="60"/>
      <x:c r="C549" s="54"/>
      <x:c r="D549" s="57" t="str">
        <x:f>IF($C549="","",IFERROR(VLOOKUP($C549,'Leads'!$A$6:$C$505,3,FALSE),"Lead ID not found"))</x:f>
      </x:c>
      <x:c r="E549" s="54"/>
      <x:c r="F549" s="54"/>
      <x:c r="G549" s="63"/>
      <x:c r="H549" s="54"/>
      <x:c r="I549" s="60"/>
      <x:c r="J549" s="54"/>
      <x:c r="K549" s="54"/>
      <x:c r="L549" s="54"/>
      <x:c r="M549" s="63"/>
    </x:row>
    <x:row r="550">
      <x:c r="A550" s="54"/>
      <x:c r="B550" s="60"/>
      <x:c r="C550" s="54"/>
      <x:c r="D550" s="57" t="str">
        <x:f>IF($C550="","",IFERROR(VLOOKUP($C550,'Leads'!$A$6:$C$505,3,FALSE),"Lead ID not found"))</x:f>
      </x:c>
      <x:c r="E550" s="54"/>
      <x:c r="F550" s="54"/>
      <x:c r="G550" s="63"/>
      <x:c r="H550" s="54"/>
      <x:c r="I550" s="60"/>
      <x:c r="J550" s="54"/>
      <x:c r="K550" s="54"/>
      <x:c r="L550" s="54"/>
      <x:c r="M550" s="63"/>
    </x:row>
    <x:row r="551">
      <x:c r="A551" s="54"/>
      <x:c r="B551" s="60"/>
      <x:c r="C551" s="54"/>
      <x:c r="D551" s="57" t="str">
        <x:f>IF($C551="","",IFERROR(VLOOKUP($C551,'Leads'!$A$6:$C$505,3,FALSE),"Lead ID not found"))</x:f>
      </x:c>
      <x:c r="E551" s="54"/>
      <x:c r="F551" s="54"/>
      <x:c r="G551" s="63"/>
      <x:c r="H551" s="54"/>
      <x:c r="I551" s="60"/>
      <x:c r="J551" s="54"/>
      <x:c r="K551" s="54"/>
      <x:c r="L551" s="54"/>
      <x:c r="M551" s="63"/>
    </x:row>
    <x:row r="552">
      <x:c r="A552" s="54"/>
      <x:c r="B552" s="60"/>
      <x:c r="C552" s="54"/>
      <x:c r="D552" s="57" t="str">
        <x:f>IF($C552="","",IFERROR(VLOOKUP($C552,'Leads'!$A$6:$C$505,3,FALSE),"Lead ID not found"))</x:f>
      </x:c>
      <x:c r="E552" s="54"/>
      <x:c r="F552" s="54"/>
      <x:c r="G552" s="63"/>
      <x:c r="H552" s="54"/>
      <x:c r="I552" s="60"/>
      <x:c r="J552" s="54"/>
      <x:c r="K552" s="54"/>
      <x:c r="L552" s="54"/>
      <x:c r="M552" s="63"/>
    </x:row>
    <x:row r="553">
      <x:c r="A553" s="54"/>
      <x:c r="B553" s="60"/>
      <x:c r="C553" s="54"/>
      <x:c r="D553" s="57" t="str">
        <x:f>IF($C553="","",IFERROR(VLOOKUP($C553,'Leads'!$A$6:$C$505,3,FALSE),"Lead ID not found"))</x:f>
      </x:c>
      <x:c r="E553" s="54"/>
      <x:c r="F553" s="54"/>
      <x:c r="G553" s="63"/>
      <x:c r="H553" s="54"/>
      <x:c r="I553" s="60"/>
      <x:c r="J553" s="54"/>
      <x:c r="K553" s="54"/>
      <x:c r="L553" s="54"/>
      <x:c r="M553" s="63"/>
    </x:row>
    <x:row r="554">
      <x:c r="A554" s="54"/>
      <x:c r="B554" s="60"/>
      <x:c r="C554" s="54"/>
      <x:c r="D554" s="57" t="str">
        <x:f>IF($C554="","",IFERROR(VLOOKUP($C554,'Leads'!$A$6:$C$505,3,FALSE),"Lead ID not found"))</x:f>
      </x:c>
      <x:c r="E554" s="54"/>
      <x:c r="F554" s="54"/>
      <x:c r="G554" s="63"/>
      <x:c r="H554" s="54"/>
      <x:c r="I554" s="60"/>
      <x:c r="J554" s="54"/>
      <x:c r="K554" s="54"/>
      <x:c r="L554" s="54"/>
      <x:c r="M554" s="63"/>
    </x:row>
    <x:row r="555">
      <x:c r="A555" s="54"/>
      <x:c r="B555" s="60"/>
      <x:c r="C555" s="54"/>
      <x:c r="D555" s="57" t="str">
        <x:f>IF($C555="","",IFERROR(VLOOKUP($C555,'Leads'!$A$6:$C$505,3,FALSE),"Lead ID not found"))</x:f>
      </x:c>
      <x:c r="E555" s="54"/>
      <x:c r="F555" s="54"/>
      <x:c r="G555" s="63"/>
      <x:c r="H555" s="54"/>
      <x:c r="I555" s="60"/>
      <x:c r="J555" s="54"/>
      <x:c r="K555" s="54"/>
      <x:c r="L555" s="54"/>
      <x:c r="M555" s="63"/>
    </x:row>
    <x:row r="556">
      <x:c r="A556" s="54"/>
      <x:c r="B556" s="60"/>
      <x:c r="C556" s="54"/>
      <x:c r="D556" s="57" t="str">
        <x:f>IF($C556="","",IFERROR(VLOOKUP($C556,'Leads'!$A$6:$C$505,3,FALSE),"Lead ID not found"))</x:f>
      </x:c>
      <x:c r="E556" s="54"/>
      <x:c r="F556" s="54"/>
      <x:c r="G556" s="63"/>
      <x:c r="H556" s="54"/>
      <x:c r="I556" s="60"/>
      <x:c r="J556" s="54"/>
      <x:c r="K556" s="54"/>
      <x:c r="L556" s="54"/>
      <x:c r="M556" s="63"/>
    </x:row>
    <x:row r="557">
      <x:c r="A557" s="54"/>
      <x:c r="B557" s="60"/>
      <x:c r="C557" s="54"/>
      <x:c r="D557" s="57" t="str">
        <x:f>IF($C557="","",IFERROR(VLOOKUP($C557,'Leads'!$A$6:$C$505,3,FALSE),"Lead ID not found"))</x:f>
      </x:c>
      <x:c r="E557" s="54"/>
      <x:c r="F557" s="54"/>
      <x:c r="G557" s="63"/>
      <x:c r="H557" s="54"/>
      <x:c r="I557" s="60"/>
      <x:c r="J557" s="54"/>
      <x:c r="K557" s="54"/>
      <x:c r="L557" s="54"/>
      <x:c r="M557" s="63"/>
    </x:row>
    <x:row r="558">
      <x:c r="A558" s="54"/>
      <x:c r="B558" s="60"/>
      <x:c r="C558" s="54"/>
      <x:c r="D558" s="57" t="str">
        <x:f>IF($C558="","",IFERROR(VLOOKUP($C558,'Leads'!$A$6:$C$505,3,FALSE),"Lead ID not found"))</x:f>
      </x:c>
      <x:c r="E558" s="54"/>
      <x:c r="F558" s="54"/>
      <x:c r="G558" s="63"/>
      <x:c r="H558" s="54"/>
      <x:c r="I558" s="60"/>
      <x:c r="J558" s="54"/>
      <x:c r="K558" s="54"/>
      <x:c r="L558" s="54"/>
      <x:c r="M558" s="63"/>
    </x:row>
    <x:row r="559">
      <x:c r="A559" s="54"/>
      <x:c r="B559" s="60"/>
      <x:c r="C559" s="54"/>
      <x:c r="D559" s="57" t="str">
        <x:f>IF($C559="","",IFERROR(VLOOKUP($C559,'Leads'!$A$6:$C$505,3,FALSE),"Lead ID not found"))</x:f>
      </x:c>
      <x:c r="E559" s="54"/>
      <x:c r="F559" s="54"/>
      <x:c r="G559" s="63"/>
      <x:c r="H559" s="54"/>
      <x:c r="I559" s="60"/>
      <x:c r="J559" s="54"/>
      <x:c r="K559" s="54"/>
      <x:c r="L559" s="54"/>
      <x:c r="M559" s="63"/>
    </x:row>
    <x:row r="560">
      <x:c r="A560" s="54"/>
      <x:c r="B560" s="60"/>
      <x:c r="C560" s="54"/>
      <x:c r="D560" s="57" t="str">
        <x:f>IF($C560="","",IFERROR(VLOOKUP($C560,'Leads'!$A$6:$C$505,3,FALSE),"Lead ID not found"))</x:f>
      </x:c>
      <x:c r="E560" s="54"/>
      <x:c r="F560" s="54"/>
      <x:c r="G560" s="63"/>
      <x:c r="H560" s="54"/>
      <x:c r="I560" s="60"/>
      <x:c r="J560" s="54"/>
      <x:c r="K560" s="54"/>
      <x:c r="L560" s="54"/>
      <x:c r="M560" s="63"/>
    </x:row>
    <x:row r="561">
      <x:c r="A561" s="54"/>
      <x:c r="B561" s="60"/>
      <x:c r="C561" s="54"/>
      <x:c r="D561" s="57" t="str">
        <x:f>IF($C561="","",IFERROR(VLOOKUP($C561,'Leads'!$A$6:$C$505,3,FALSE),"Lead ID not found"))</x:f>
      </x:c>
      <x:c r="E561" s="54"/>
      <x:c r="F561" s="54"/>
      <x:c r="G561" s="63"/>
      <x:c r="H561" s="54"/>
      <x:c r="I561" s="60"/>
      <x:c r="J561" s="54"/>
      <x:c r="K561" s="54"/>
      <x:c r="L561" s="54"/>
      <x:c r="M561" s="63"/>
    </x:row>
    <x:row r="562">
      <x:c r="A562" s="54"/>
      <x:c r="B562" s="60"/>
      <x:c r="C562" s="54"/>
      <x:c r="D562" s="57" t="str">
        <x:f>IF($C562="","",IFERROR(VLOOKUP($C562,'Leads'!$A$6:$C$505,3,FALSE),"Lead ID not found"))</x:f>
      </x:c>
      <x:c r="E562" s="54"/>
      <x:c r="F562" s="54"/>
      <x:c r="G562" s="63"/>
      <x:c r="H562" s="54"/>
      <x:c r="I562" s="60"/>
      <x:c r="J562" s="54"/>
      <x:c r="K562" s="54"/>
      <x:c r="L562" s="54"/>
      <x:c r="M562" s="63"/>
    </x:row>
    <x:row r="563">
      <x:c r="A563" s="54"/>
      <x:c r="B563" s="60"/>
      <x:c r="C563" s="54"/>
      <x:c r="D563" s="57" t="str">
        <x:f>IF($C563="","",IFERROR(VLOOKUP($C563,'Leads'!$A$6:$C$505,3,FALSE),"Lead ID not found"))</x:f>
      </x:c>
      <x:c r="E563" s="54"/>
      <x:c r="F563" s="54"/>
      <x:c r="G563" s="63"/>
      <x:c r="H563" s="54"/>
      <x:c r="I563" s="60"/>
      <x:c r="J563" s="54"/>
      <x:c r="K563" s="54"/>
      <x:c r="L563" s="54"/>
      <x:c r="M563" s="63"/>
    </x:row>
    <x:row r="564">
      <x:c r="A564" s="54"/>
      <x:c r="B564" s="60"/>
      <x:c r="C564" s="54"/>
      <x:c r="D564" s="57" t="str">
        <x:f>IF($C564="","",IFERROR(VLOOKUP($C564,'Leads'!$A$6:$C$505,3,FALSE),"Lead ID not found"))</x:f>
      </x:c>
      <x:c r="E564" s="54"/>
      <x:c r="F564" s="54"/>
      <x:c r="G564" s="63"/>
      <x:c r="H564" s="54"/>
      <x:c r="I564" s="60"/>
      <x:c r="J564" s="54"/>
      <x:c r="K564" s="54"/>
      <x:c r="L564" s="54"/>
      <x:c r="M564" s="63"/>
    </x:row>
    <x:row r="565">
      <x:c r="A565" s="54"/>
      <x:c r="B565" s="60"/>
      <x:c r="C565" s="54"/>
      <x:c r="D565" s="57" t="str">
        <x:f>IF($C565="","",IFERROR(VLOOKUP($C565,'Leads'!$A$6:$C$505,3,FALSE),"Lead ID not found"))</x:f>
      </x:c>
      <x:c r="E565" s="54"/>
      <x:c r="F565" s="54"/>
      <x:c r="G565" s="63"/>
      <x:c r="H565" s="54"/>
      <x:c r="I565" s="60"/>
      <x:c r="J565" s="54"/>
      <x:c r="K565" s="54"/>
      <x:c r="L565" s="54"/>
      <x:c r="M565" s="63"/>
    </x:row>
    <x:row r="566">
      <x:c r="A566" s="54"/>
      <x:c r="B566" s="60"/>
      <x:c r="C566" s="54"/>
      <x:c r="D566" s="57" t="str">
        <x:f>IF($C566="","",IFERROR(VLOOKUP($C566,'Leads'!$A$6:$C$505,3,FALSE),"Lead ID not found"))</x:f>
      </x:c>
      <x:c r="E566" s="54"/>
      <x:c r="F566" s="54"/>
      <x:c r="G566" s="63"/>
      <x:c r="H566" s="54"/>
      <x:c r="I566" s="60"/>
      <x:c r="J566" s="54"/>
      <x:c r="K566" s="54"/>
      <x:c r="L566" s="54"/>
      <x:c r="M566" s="63"/>
    </x:row>
    <x:row r="567">
      <x:c r="A567" s="54"/>
      <x:c r="B567" s="60"/>
      <x:c r="C567" s="54"/>
      <x:c r="D567" s="57" t="str">
        <x:f>IF($C567="","",IFERROR(VLOOKUP($C567,'Leads'!$A$6:$C$505,3,FALSE),"Lead ID not found"))</x:f>
      </x:c>
      <x:c r="E567" s="54"/>
      <x:c r="F567" s="54"/>
      <x:c r="G567" s="63"/>
      <x:c r="H567" s="54"/>
      <x:c r="I567" s="60"/>
      <x:c r="J567" s="54"/>
      <x:c r="K567" s="54"/>
      <x:c r="L567" s="54"/>
      <x:c r="M567" s="63"/>
    </x:row>
    <x:row r="568">
      <x:c r="A568" s="54"/>
      <x:c r="B568" s="60"/>
      <x:c r="C568" s="54"/>
      <x:c r="D568" s="57" t="str">
        <x:f>IF($C568="","",IFERROR(VLOOKUP($C568,'Leads'!$A$6:$C$505,3,FALSE),"Lead ID not found"))</x:f>
      </x:c>
      <x:c r="E568" s="54"/>
      <x:c r="F568" s="54"/>
      <x:c r="G568" s="63"/>
      <x:c r="H568" s="54"/>
      <x:c r="I568" s="60"/>
      <x:c r="J568" s="54"/>
      <x:c r="K568" s="54"/>
      <x:c r="L568" s="54"/>
      <x:c r="M568" s="63"/>
    </x:row>
    <x:row r="569">
      <x:c r="A569" s="54"/>
      <x:c r="B569" s="60"/>
      <x:c r="C569" s="54"/>
      <x:c r="D569" s="57" t="str">
        <x:f>IF($C569="","",IFERROR(VLOOKUP($C569,'Leads'!$A$6:$C$505,3,FALSE),"Lead ID not found"))</x:f>
      </x:c>
      <x:c r="E569" s="54"/>
      <x:c r="F569" s="54"/>
      <x:c r="G569" s="63"/>
      <x:c r="H569" s="54"/>
      <x:c r="I569" s="60"/>
      <x:c r="J569" s="54"/>
      <x:c r="K569" s="54"/>
      <x:c r="L569" s="54"/>
      <x:c r="M569" s="63"/>
    </x:row>
    <x:row r="570">
      <x:c r="A570" s="54"/>
      <x:c r="B570" s="60"/>
      <x:c r="C570" s="54"/>
      <x:c r="D570" s="57" t="str">
        <x:f>IF($C570="","",IFERROR(VLOOKUP($C570,'Leads'!$A$6:$C$505,3,FALSE),"Lead ID not found"))</x:f>
      </x:c>
      <x:c r="E570" s="54"/>
      <x:c r="F570" s="54"/>
      <x:c r="G570" s="63"/>
      <x:c r="H570" s="54"/>
      <x:c r="I570" s="60"/>
      <x:c r="J570" s="54"/>
      <x:c r="K570" s="54"/>
      <x:c r="L570" s="54"/>
      <x:c r="M570" s="63"/>
    </x:row>
    <x:row r="571">
      <x:c r="A571" s="54"/>
      <x:c r="B571" s="60"/>
      <x:c r="C571" s="54"/>
      <x:c r="D571" s="57" t="str">
        <x:f>IF($C571="","",IFERROR(VLOOKUP($C571,'Leads'!$A$6:$C$505,3,FALSE),"Lead ID not found"))</x:f>
      </x:c>
      <x:c r="E571" s="54"/>
      <x:c r="F571" s="54"/>
      <x:c r="G571" s="63"/>
      <x:c r="H571" s="54"/>
      <x:c r="I571" s="60"/>
      <x:c r="J571" s="54"/>
      <x:c r="K571" s="54"/>
      <x:c r="L571" s="54"/>
      <x:c r="M571" s="63"/>
    </x:row>
    <x:row r="572">
      <x:c r="A572" s="54"/>
      <x:c r="B572" s="60"/>
      <x:c r="C572" s="54"/>
      <x:c r="D572" s="57" t="str">
        <x:f>IF($C572="","",IFERROR(VLOOKUP($C572,'Leads'!$A$6:$C$505,3,FALSE),"Lead ID not found"))</x:f>
      </x:c>
      <x:c r="E572" s="54"/>
      <x:c r="F572" s="54"/>
      <x:c r="G572" s="63"/>
      <x:c r="H572" s="54"/>
      <x:c r="I572" s="60"/>
      <x:c r="J572" s="54"/>
      <x:c r="K572" s="54"/>
      <x:c r="L572" s="54"/>
      <x:c r="M572" s="63"/>
    </x:row>
    <x:row r="573">
      <x:c r="A573" s="54"/>
      <x:c r="B573" s="60"/>
      <x:c r="C573" s="54"/>
      <x:c r="D573" s="57" t="str">
        <x:f>IF($C573="","",IFERROR(VLOOKUP($C573,'Leads'!$A$6:$C$505,3,FALSE),"Lead ID not found"))</x:f>
      </x:c>
      <x:c r="E573" s="54"/>
      <x:c r="F573" s="54"/>
      <x:c r="G573" s="63"/>
      <x:c r="H573" s="54"/>
      <x:c r="I573" s="60"/>
      <x:c r="J573" s="54"/>
      <x:c r="K573" s="54"/>
      <x:c r="L573" s="54"/>
      <x:c r="M573" s="63"/>
    </x:row>
    <x:row r="574">
      <x:c r="A574" s="54"/>
      <x:c r="B574" s="60"/>
      <x:c r="C574" s="54"/>
      <x:c r="D574" s="57" t="str">
        <x:f>IF($C574="","",IFERROR(VLOOKUP($C574,'Leads'!$A$6:$C$505,3,FALSE),"Lead ID not found"))</x:f>
      </x:c>
      <x:c r="E574" s="54"/>
      <x:c r="F574" s="54"/>
      <x:c r="G574" s="63"/>
      <x:c r="H574" s="54"/>
      <x:c r="I574" s="60"/>
      <x:c r="J574" s="54"/>
      <x:c r="K574" s="54"/>
      <x:c r="L574" s="54"/>
      <x:c r="M574" s="63"/>
    </x:row>
    <x:row r="575">
      <x:c r="A575" s="54"/>
      <x:c r="B575" s="60"/>
      <x:c r="C575" s="54"/>
      <x:c r="D575" s="57" t="str">
        <x:f>IF($C575="","",IFERROR(VLOOKUP($C575,'Leads'!$A$6:$C$505,3,FALSE),"Lead ID not found"))</x:f>
      </x:c>
      <x:c r="E575" s="54"/>
      <x:c r="F575" s="54"/>
      <x:c r="G575" s="63"/>
      <x:c r="H575" s="54"/>
      <x:c r="I575" s="60"/>
      <x:c r="J575" s="54"/>
      <x:c r="K575" s="54"/>
      <x:c r="L575" s="54"/>
      <x:c r="M575" s="63"/>
    </x:row>
    <x:row r="576">
      <x:c r="A576" s="54"/>
      <x:c r="B576" s="60"/>
      <x:c r="C576" s="54"/>
      <x:c r="D576" s="57" t="str">
        <x:f>IF($C576="","",IFERROR(VLOOKUP($C576,'Leads'!$A$6:$C$505,3,FALSE),"Lead ID not found"))</x:f>
      </x:c>
      <x:c r="E576" s="54"/>
      <x:c r="F576" s="54"/>
      <x:c r="G576" s="63"/>
      <x:c r="H576" s="54"/>
      <x:c r="I576" s="60"/>
      <x:c r="J576" s="54"/>
      <x:c r="K576" s="54"/>
      <x:c r="L576" s="54"/>
      <x:c r="M576" s="63"/>
    </x:row>
    <x:row r="577">
      <x:c r="A577" s="54"/>
      <x:c r="B577" s="60"/>
      <x:c r="C577" s="54"/>
      <x:c r="D577" s="57" t="str">
        <x:f>IF($C577="","",IFERROR(VLOOKUP($C577,'Leads'!$A$6:$C$505,3,FALSE),"Lead ID not found"))</x:f>
      </x:c>
      <x:c r="E577" s="54"/>
      <x:c r="F577" s="54"/>
      <x:c r="G577" s="63"/>
      <x:c r="H577" s="54"/>
      <x:c r="I577" s="60"/>
      <x:c r="J577" s="54"/>
      <x:c r="K577" s="54"/>
      <x:c r="L577" s="54"/>
      <x:c r="M577" s="63"/>
    </x:row>
    <x:row r="578">
      <x:c r="A578" s="54"/>
      <x:c r="B578" s="60"/>
      <x:c r="C578" s="54"/>
      <x:c r="D578" s="57" t="str">
        <x:f>IF($C578="","",IFERROR(VLOOKUP($C578,'Leads'!$A$6:$C$505,3,FALSE),"Lead ID not found"))</x:f>
      </x:c>
      <x:c r="E578" s="54"/>
      <x:c r="F578" s="54"/>
      <x:c r="G578" s="63"/>
      <x:c r="H578" s="54"/>
      <x:c r="I578" s="60"/>
      <x:c r="J578" s="54"/>
      <x:c r="K578" s="54"/>
      <x:c r="L578" s="54"/>
      <x:c r="M578" s="63"/>
    </x:row>
    <x:row r="579">
      <x:c r="A579" s="54"/>
      <x:c r="B579" s="60"/>
      <x:c r="C579" s="54"/>
      <x:c r="D579" s="57" t="str">
        <x:f>IF($C579="","",IFERROR(VLOOKUP($C579,'Leads'!$A$6:$C$505,3,FALSE),"Lead ID not found"))</x:f>
      </x:c>
      <x:c r="E579" s="54"/>
      <x:c r="F579" s="54"/>
      <x:c r="G579" s="63"/>
      <x:c r="H579" s="54"/>
      <x:c r="I579" s="60"/>
      <x:c r="J579" s="54"/>
      <x:c r="K579" s="54"/>
      <x:c r="L579" s="54"/>
      <x:c r="M579" s="63"/>
    </x:row>
    <x:row r="580">
      <x:c r="A580" s="54"/>
      <x:c r="B580" s="60"/>
      <x:c r="C580" s="54"/>
      <x:c r="D580" s="57" t="str">
        <x:f>IF($C580="","",IFERROR(VLOOKUP($C580,'Leads'!$A$6:$C$505,3,FALSE),"Lead ID not found"))</x:f>
      </x:c>
      <x:c r="E580" s="54"/>
      <x:c r="F580" s="54"/>
      <x:c r="G580" s="63"/>
      <x:c r="H580" s="54"/>
      <x:c r="I580" s="60"/>
      <x:c r="J580" s="54"/>
      <x:c r="K580" s="54"/>
      <x:c r="L580" s="54"/>
      <x:c r="M580" s="63"/>
    </x:row>
    <x:row r="581">
      <x:c r="A581" s="54"/>
      <x:c r="B581" s="60"/>
      <x:c r="C581" s="54"/>
      <x:c r="D581" s="57" t="str">
        <x:f>IF($C581="","",IFERROR(VLOOKUP($C581,'Leads'!$A$6:$C$505,3,FALSE),"Lead ID not found"))</x:f>
      </x:c>
      <x:c r="E581" s="54"/>
      <x:c r="F581" s="54"/>
      <x:c r="G581" s="63"/>
      <x:c r="H581" s="54"/>
      <x:c r="I581" s="60"/>
      <x:c r="J581" s="54"/>
      <x:c r="K581" s="54"/>
      <x:c r="L581" s="54"/>
      <x:c r="M581" s="63"/>
    </x:row>
    <x:row r="582">
      <x:c r="A582" s="54"/>
      <x:c r="B582" s="60"/>
      <x:c r="C582" s="54"/>
      <x:c r="D582" s="57" t="str">
        <x:f>IF($C582="","",IFERROR(VLOOKUP($C582,'Leads'!$A$6:$C$505,3,FALSE),"Lead ID not found"))</x:f>
      </x:c>
      <x:c r="E582" s="54"/>
      <x:c r="F582" s="54"/>
      <x:c r="G582" s="63"/>
      <x:c r="H582" s="54"/>
      <x:c r="I582" s="60"/>
      <x:c r="J582" s="54"/>
      <x:c r="K582" s="54"/>
      <x:c r="L582" s="54"/>
      <x:c r="M582" s="63"/>
    </x:row>
    <x:row r="583">
      <x:c r="A583" s="54"/>
      <x:c r="B583" s="60"/>
      <x:c r="C583" s="54"/>
      <x:c r="D583" s="57" t="str">
        <x:f>IF($C583="","",IFERROR(VLOOKUP($C583,'Leads'!$A$6:$C$505,3,FALSE),"Lead ID not found"))</x:f>
      </x:c>
      <x:c r="E583" s="54"/>
      <x:c r="F583" s="54"/>
      <x:c r="G583" s="63"/>
      <x:c r="H583" s="54"/>
      <x:c r="I583" s="60"/>
      <x:c r="J583" s="54"/>
      <x:c r="K583" s="54"/>
      <x:c r="L583" s="54"/>
      <x:c r="M583" s="63"/>
    </x:row>
    <x:row r="584">
      <x:c r="A584" s="54"/>
      <x:c r="B584" s="60"/>
      <x:c r="C584" s="54"/>
      <x:c r="D584" s="57" t="str">
        <x:f>IF($C584="","",IFERROR(VLOOKUP($C584,'Leads'!$A$6:$C$505,3,FALSE),"Lead ID not found"))</x:f>
      </x:c>
      <x:c r="E584" s="54"/>
      <x:c r="F584" s="54"/>
      <x:c r="G584" s="63"/>
      <x:c r="H584" s="54"/>
      <x:c r="I584" s="60"/>
      <x:c r="J584" s="54"/>
      <x:c r="K584" s="54"/>
      <x:c r="L584" s="54"/>
      <x:c r="M584" s="63"/>
    </x:row>
    <x:row r="585">
      <x:c r="A585" s="54"/>
      <x:c r="B585" s="60"/>
      <x:c r="C585" s="54"/>
      <x:c r="D585" s="57" t="str">
        <x:f>IF($C585="","",IFERROR(VLOOKUP($C585,'Leads'!$A$6:$C$505,3,FALSE),"Lead ID not found"))</x:f>
      </x:c>
      <x:c r="E585" s="54"/>
      <x:c r="F585" s="54"/>
      <x:c r="G585" s="63"/>
      <x:c r="H585" s="54"/>
      <x:c r="I585" s="60"/>
      <x:c r="J585" s="54"/>
      <x:c r="K585" s="54"/>
      <x:c r="L585" s="54"/>
      <x:c r="M585" s="63"/>
    </x:row>
    <x:row r="586">
      <x:c r="A586" s="54"/>
      <x:c r="B586" s="60"/>
      <x:c r="C586" s="54"/>
      <x:c r="D586" s="57" t="str">
        <x:f>IF($C586="","",IFERROR(VLOOKUP($C586,'Leads'!$A$6:$C$505,3,FALSE),"Lead ID not found"))</x:f>
      </x:c>
      <x:c r="E586" s="54"/>
      <x:c r="F586" s="54"/>
      <x:c r="G586" s="63"/>
      <x:c r="H586" s="54"/>
      <x:c r="I586" s="60"/>
      <x:c r="J586" s="54"/>
      <x:c r="K586" s="54"/>
      <x:c r="L586" s="54"/>
      <x:c r="M586" s="63"/>
    </x:row>
    <x:row r="587">
      <x:c r="A587" s="54"/>
      <x:c r="B587" s="60"/>
      <x:c r="C587" s="54"/>
      <x:c r="D587" s="57" t="str">
        <x:f>IF($C587="","",IFERROR(VLOOKUP($C587,'Leads'!$A$6:$C$505,3,FALSE),"Lead ID not found"))</x:f>
      </x:c>
      <x:c r="E587" s="54"/>
      <x:c r="F587" s="54"/>
      <x:c r="G587" s="63"/>
      <x:c r="H587" s="54"/>
      <x:c r="I587" s="60"/>
      <x:c r="J587" s="54"/>
      <x:c r="K587" s="54"/>
      <x:c r="L587" s="54"/>
      <x:c r="M587" s="63"/>
    </x:row>
    <x:row r="588">
      <x:c r="A588" s="54"/>
      <x:c r="B588" s="60"/>
      <x:c r="C588" s="54"/>
      <x:c r="D588" s="57" t="str">
        <x:f>IF($C588="","",IFERROR(VLOOKUP($C588,'Leads'!$A$6:$C$505,3,FALSE),"Lead ID not found"))</x:f>
      </x:c>
      <x:c r="E588" s="54"/>
      <x:c r="F588" s="54"/>
      <x:c r="G588" s="63"/>
      <x:c r="H588" s="54"/>
      <x:c r="I588" s="60"/>
      <x:c r="J588" s="54"/>
      <x:c r="K588" s="54"/>
      <x:c r="L588" s="54"/>
      <x:c r="M588" s="63"/>
    </x:row>
    <x:row r="589">
      <x:c r="A589" s="54"/>
      <x:c r="B589" s="60"/>
      <x:c r="C589" s="54"/>
      <x:c r="D589" s="57" t="str">
        <x:f>IF($C589="","",IFERROR(VLOOKUP($C589,'Leads'!$A$6:$C$505,3,FALSE),"Lead ID not found"))</x:f>
      </x:c>
      <x:c r="E589" s="54"/>
      <x:c r="F589" s="54"/>
      <x:c r="G589" s="63"/>
      <x:c r="H589" s="54"/>
      <x:c r="I589" s="60"/>
      <x:c r="J589" s="54"/>
      <x:c r="K589" s="54"/>
      <x:c r="L589" s="54"/>
      <x:c r="M589" s="63"/>
    </x:row>
    <x:row r="590">
      <x:c r="A590" s="54"/>
      <x:c r="B590" s="60"/>
      <x:c r="C590" s="54"/>
      <x:c r="D590" s="57" t="str">
        <x:f>IF($C590="","",IFERROR(VLOOKUP($C590,'Leads'!$A$6:$C$505,3,FALSE),"Lead ID not found"))</x:f>
      </x:c>
      <x:c r="E590" s="54"/>
      <x:c r="F590" s="54"/>
      <x:c r="G590" s="63"/>
      <x:c r="H590" s="54"/>
      <x:c r="I590" s="60"/>
      <x:c r="J590" s="54"/>
      <x:c r="K590" s="54"/>
      <x:c r="L590" s="54"/>
      <x:c r="M590" s="63"/>
    </x:row>
    <x:row r="591">
      <x:c r="A591" s="54"/>
      <x:c r="B591" s="60"/>
      <x:c r="C591" s="54"/>
      <x:c r="D591" s="57" t="str">
        <x:f>IF($C591="","",IFERROR(VLOOKUP($C591,'Leads'!$A$6:$C$505,3,FALSE),"Lead ID not found"))</x:f>
      </x:c>
      <x:c r="E591" s="54"/>
      <x:c r="F591" s="54"/>
      <x:c r="G591" s="63"/>
      <x:c r="H591" s="54"/>
      <x:c r="I591" s="60"/>
      <x:c r="J591" s="54"/>
      <x:c r="K591" s="54"/>
      <x:c r="L591" s="54"/>
      <x:c r="M591" s="63"/>
    </x:row>
    <x:row r="592">
      <x:c r="A592" s="54"/>
      <x:c r="B592" s="60"/>
      <x:c r="C592" s="54"/>
      <x:c r="D592" s="57" t="str">
        <x:f>IF($C592="","",IFERROR(VLOOKUP($C592,'Leads'!$A$6:$C$505,3,FALSE),"Lead ID not found"))</x:f>
      </x:c>
      <x:c r="E592" s="54"/>
      <x:c r="F592" s="54"/>
      <x:c r="G592" s="63"/>
      <x:c r="H592" s="54"/>
      <x:c r="I592" s="60"/>
      <x:c r="J592" s="54"/>
      <x:c r="K592" s="54"/>
      <x:c r="L592" s="54"/>
      <x:c r="M592" s="63"/>
    </x:row>
    <x:row r="593">
      <x:c r="A593" s="54"/>
      <x:c r="B593" s="60"/>
      <x:c r="C593" s="54"/>
      <x:c r="D593" s="57" t="str">
        <x:f>IF($C593="","",IFERROR(VLOOKUP($C593,'Leads'!$A$6:$C$505,3,FALSE),"Lead ID not found"))</x:f>
      </x:c>
      <x:c r="E593" s="54"/>
      <x:c r="F593" s="54"/>
      <x:c r="G593" s="63"/>
      <x:c r="H593" s="54"/>
      <x:c r="I593" s="60"/>
      <x:c r="J593" s="54"/>
      <x:c r="K593" s="54"/>
      <x:c r="L593" s="54"/>
      <x:c r="M593" s="63"/>
    </x:row>
    <x:row r="594">
      <x:c r="A594" s="54"/>
      <x:c r="B594" s="60"/>
      <x:c r="C594" s="54"/>
      <x:c r="D594" s="57" t="str">
        <x:f>IF($C594="","",IFERROR(VLOOKUP($C594,'Leads'!$A$6:$C$505,3,FALSE),"Lead ID not found"))</x:f>
      </x:c>
      <x:c r="E594" s="54"/>
      <x:c r="F594" s="54"/>
      <x:c r="G594" s="63"/>
      <x:c r="H594" s="54"/>
      <x:c r="I594" s="60"/>
      <x:c r="J594" s="54"/>
      <x:c r="K594" s="54"/>
      <x:c r="L594" s="54"/>
      <x:c r="M594" s="63"/>
    </x:row>
    <x:row r="595">
      <x:c r="A595" s="54"/>
      <x:c r="B595" s="60"/>
      <x:c r="C595" s="54"/>
      <x:c r="D595" s="57" t="str">
        <x:f>IF($C595="","",IFERROR(VLOOKUP($C595,'Leads'!$A$6:$C$505,3,FALSE),"Lead ID not found"))</x:f>
      </x:c>
      <x:c r="E595" s="54"/>
      <x:c r="F595" s="54"/>
      <x:c r="G595" s="63"/>
      <x:c r="H595" s="54"/>
      <x:c r="I595" s="60"/>
      <x:c r="J595" s="54"/>
      <x:c r="K595" s="54"/>
      <x:c r="L595" s="54"/>
      <x:c r="M595" s="63"/>
    </x:row>
    <x:row r="596">
      <x:c r="A596" s="54"/>
      <x:c r="B596" s="60"/>
      <x:c r="C596" s="54"/>
      <x:c r="D596" s="57" t="str">
        <x:f>IF($C596="","",IFERROR(VLOOKUP($C596,'Leads'!$A$6:$C$505,3,FALSE),"Lead ID not found"))</x:f>
      </x:c>
      <x:c r="E596" s="54"/>
      <x:c r="F596" s="54"/>
      <x:c r="G596" s="63"/>
      <x:c r="H596" s="54"/>
      <x:c r="I596" s="60"/>
      <x:c r="J596" s="54"/>
      <x:c r="K596" s="54"/>
      <x:c r="L596" s="54"/>
      <x:c r="M596" s="63"/>
    </x:row>
    <x:row r="597">
      <x:c r="A597" s="54"/>
      <x:c r="B597" s="60"/>
      <x:c r="C597" s="54"/>
      <x:c r="D597" s="57" t="str">
        <x:f>IF($C597="","",IFERROR(VLOOKUP($C597,'Leads'!$A$6:$C$505,3,FALSE),"Lead ID not found"))</x:f>
      </x:c>
      <x:c r="E597" s="54"/>
      <x:c r="F597" s="54"/>
      <x:c r="G597" s="63"/>
      <x:c r="H597" s="54"/>
      <x:c r="I597" s="60"/>
      <x:c r="J597" s="54"/>
      <x:c r="K597" s="54"/>
      <x:c r="L597" s="54"/>
      <x:c r="M597" s="63"/>
    </x:row>
    <x:row r="598">
      <x:c r="A598" s="54"/>
      <x:c r="B598" s="60"/>
      <x:c r="C598" s="54"/>
      <x:c r="D598" s="57" t="str">
        <x:f>IF($C598="","",IFERROR(VLOOKUP($C598,'Leads'!$A$6:$C$505,3,FALSE),"Lead ID not found"))</x:f>
      </x:c>
      <x:c r="E598" s="54"/>
      <x:c r="F598" s="54"/>
      <x:c r="G598" s="63"/>
      <x:c r="H598" s="54"/>
      <x:c r="I598" s="60"/>
      <x:c r="J598" s="54"/>
      <x:c r="K598" s="54"/>
      <x:c r="L598" s="54"/>
      <x:c r="M598" s="63"/>
    </x:row>
    <x:row r="599">
      <x:c r="A599" s="54"/>
      <x:c r="B599" s="60"/>
      <x:c r="C599" s="54"/>
      <x:c r="D599" s="57" t="str">
        <x:f>IF($C599="","",IFERROR(VLOOKUP($C599,'Leads'!$A$6:$C$505,3,FALSE),"Lead ID not found"))</x:f>
      </x:c>
      <x:c r="E599" s="54"/>
      <x:c r="F599" s="54"/>
      <x:c r="G599" s="63"/>
      <x:c r="H599" s="54"/>
      <x:c r="I599" s="60"/>
      <x:c r="J599" s="54"/>
      <x:c r="K599" s="54"/>
      <x:c r="L599" s="54"/>
      <x:c r="M599" s="63"/>
    </x:row>
    <x:row r="600">
      <x:c r="A600" s="54"/>
      <x:c r="B600" s="60"/>
      <x:c r="C600" s="54"/>
      <x:c r="D600" s="57" t="str">
        <x:f>IF($C600="","",IFERROR(VLOOKUP($C600,'Leads'!$A$6:$C$505,3,FALSE),"Lead ID not found"))</x:f>
      </x:c>
      <x:c r="E600" s="54"/>
      <x:c r="F600" s="54"/>
      <x:c r="G600" s="63"/>
      <x:c r="H600" s="54"/>
      <x:c r="I600" s="60"/>
      <x:c r="J600" s="54"/>
      <x:c r="K600" s="54"/>
      <x:c r="L600" s="54"/>
      <x:c r="M600" s="63"/>
    </x:row>
    <x:row r="601">
      <x:c r="A601" s="54"/>
      <x:c r="B601" s="60"/>
      <x:c r="C601" s="54"/>
      <x:c r="D601" s="57" t="str">
        <x:f>IF($C601="","",IFERROR(VLOOKUP($C601,'Leads'!$A$6:$C$505,3,FALSE),"Lead ID not found"))</x:f>
      </x:c>
      <x:c r="E601" s="54"/>
      <x:c r="F601" s="54"/>
      <x:c r="G601" s="63"/>
      <x:c r="H601" s="54"/>
      <x:c r="I601" s="60"/>
      <x:c r="J601" s="54"/>
      <x:c r="K601" s="54"/>
      <x:c r="L601" s="54"/>
      <x:c r="M601" s="63"/>
    </x:row>
    <x:row r="602">
      <x:c r="A602" s="54"/>
      <x:c r="B602" s="60"/>
      <x:c r="C602" s="54"/>
      <x:c r="D602" s="57" t="str">
        <x:f>IF($C602="","",IFERROR(VLOOKUP($C602,'Leads'!$A$6:$C$505,3,FALSE),"Lead ID not found"))</x:f>
      </x:c>
      <x:c r="E602" s="54"/>
      <x:c r="F602" s="54"/>
      <x:c r="G602" s="63"/>
      <x:c r="H602" s="54"/>
      <x:c r="I602" s="60"/>
      <x:c r="J602" s="54"/>
      <x:c r="K602" s="54"/>
      <x:c r="L602" s="54"/>
      <x:c r="M602" s="63"/>
    </x:row>
    <x:row r="603">
      <x:c r="A603" s="54"/>
      <x:c r="B603" s="60"/>
      <x:c r="C603" s="54"/>
      <x:c r="D603" s="57" t="str">
        <x:f>IF($C603="","",IFERROR(VLOOKUP($C603,'Leads'!$A$6:$C$505,3,FALSE),"Lead ID not found"))</x:f>
      </x:c>
      <x:c r="E603" s="54"/>
      <x:c r="F603" s="54"/>
      <x:c r="G603" s="63"/>
      <x:c r="H603" s="54"/>
      <x:c r="I603" s="60"/>
      <x:c r="J603" s="54"/>
      <x:c r="K603" s="54"/>
      <x:c r="L603" s="54"/>
      <x:c r="M603" s="63"/>
    </x:row>
    <x:row r="604">
      <x:c r="A604" s="54"/>
      <x:c r="B604" s="60"/>
      <x:c r="C604" s="54"/>
      <x:c r="D604" s="57" t="str">
        <x:f>IF($C604="","",IFERROR(VLOOKUP($C604,'Leads'!$A$6:$C$505,3,FALSE),"Lead ID not found"))</x:f>
      </x:c>
      <x:c r="E604" s="54"/>
      <x:c r="F604" s="54"/>
      <x:c r="G604" s="63"/>
      <x:c r="H604" s="54"/>
      <x:c r="I604" s="60"/>
      <x:c r="J604" s="54"/>
      <x:c r="K604" s="54"/>
      <x:c r="L604" s="54"/>
      <x:c r="M604" s="63"/>
    </x:row>
    <x:row r="605">
      <x:c r="A605" s="54"/>
      <x:c r="B605" s="60"/>
      <x:c r="C605" s="54"/>
      <x:c r="D605" s="57" t="str">
        <x:f>IF($C605="","",IFERROR(VLOOKUP($C605,'Leads'!$A$6:$C$505,3,FALSE),"Lead ID not found"))</x:f>
      </x:c>
      <x:c r="E605" s="54"/>
      <x:c r="F605" s="54"/>
      <x:c r="G605" s="63"/>
      <x:c r="H605" s="54"/>
      <x:c r="I605" s="60"/>
      <x:c r="J605" s="54"/>
      <x:c r="K605" s="54"/>
      <x:c r="L605" s="54"/>
      <x:c r="M605" s="63"/>
    </x:row>
    <x:row r="606">
      <x:c r="A606" s="54"/>
      <x:c r="B606" s="60"/>
      <x:c r="C606" s="54"/>
      <x:c r="D606" s="57" t="str">
        <x:f>IF($C606="","",IFERROR(VLOOKUP($C606,'Leads'!$A$6:$C$505,3,FALSE),"Lead ID not found"))</x:f>
      </x:c>
      <x:c r="E606" s="54"/>
      <x:c r="F606" s="54"/>
      <x:c r="G606" s="63"/>
      <x:c r="H606" s="54"/>
      <x:c r="I606" s="60"/>
      <x:c r="J606" s="54"/>
      <x:c r="K606" s="54"/>
      <x:c r="L606" s="54"/>
      <x:c r="M606" s="63"/>
    </x:row>
    <x:row r="607">
      <x:c r="A607" s="54"/>
      <x:c r="B607" s="60"/>
      <x:c r="C607" s="54"/>
      <x:c r="D607" s="57" t="str">
        <x:f>IF($C607="","",IFERROR(VLOOKUP($C607,'Leads'!$A$6:$C$505,3,FALSE),"Lead ID not found"))</x:f>
      </x:c>
      <x:c r="E607" s="54"/>
      <x:c r="F607" s="54"/>
      <x:c r="G607" s="63"/>
      <x:c r="H607" s="54"/>
      <x:c r="I607" s="60"/>
      <x:c r="J607" s="54"/>
      <x:c r="K607" s="54"/>
      <x:c r="L607" s="54"/>
      <x:c r="M607" s="63"/>
    </x:row>
    <x:row r="608">
      <x:c r="A608" s="54"/>
      <x:c r="B608" s="60"/>
      <x:c r="C608" s="54"/>
      <x:c r="D608" s="57" t="str">
        <x:f>IF($C608="","",IFERROR(VLOOKUP($C608,'Leads'!$A$6:$C$505,3,FALSE),"Lead ID not found"))</x:f>
      </x:c>
      <x:c r="E608" s="54"/>
      <x:c r="F608" s="54"/>
      <x:c r="G608" s="63"/>
      <x:c r="H608" s="54"/>
      <x:c r="I608" s="60"/>
      <x:c r="J608" s="54"/>
      <x:c r="K608" s="54"/>
      <x:c r="L608" s="54"/>
      <x:c r="M608" s="63"/>
    </x:row>
    <x:row r="609">
      <x:c r="A609" s="54"/>
      <x:c r="B609" s="60"/>
      <x:c r="C609" s="54"/>
      <x:c r="D609" s="57" t="str">
        <x:f>IF($C609="","",IFERROR(VLOOKUP($C609,'Leads'!$A$6:$C$505,3,FALSE),"Lead ID not found"))</x:f>
      </x:c>
      <x:c r="E609" s="54"/>
      <x:c r="F609" s="54"/>
      <x:c r="G609" s="63"/>
      <x:c r="H609" s="54"/>
      <x:c r="I609" s="60"/>
      <x:c r="J609" s="54"/>
      <x:c r="K609" s="54"/>
      <x:c r="L609" s="54"/>
      <x:c r="M609" s="63"/>
    </x:row>
    <x:row r="610">
      <x:c r="A610" s="54"/>
      <x:c r="B610" s="60"/>
      <x:c r="C610" s="54"/>
      <x:c r="D610" s="57" t="str">
        <x:f>IF($C610="","",IFERROR(VLOOKUP($C610,'Leads'!$A$6:$C$505,3,FALSE),"Lead ID not found"))</x:f>
      </x:c>
      <x:c r="E610" s="54"/>
      <x:c r="F610" s="54"/>
      <x:c r="G610" s="63"/>
      <x:c r="H610" s="54"/>
      <x:c r="I610" s="60"/>
      <x:c r="J610" s="54"/>
      <x:c r="K610" s="54"/>
      <x:c r="L610" s="54"/>
      <x:c r="M610" s="63"/>
    </x:row>
    <x:row r="611">
      <x:c r="A611" s="54"/>
      <x:c r="B611" s="60"/>
      <x:c r="C611" s="54"/>
      <x:c r="D611" s="57" t="str">
        <x:f>IF($C611="","",IFERROR(VLOOKUP($C611,'Leads'!$A$6:$C$505,3,FALSE),"Lead ID not found"))</x:f>
      </x:c>
      <x:c r="E611" s="54"/>
      <x:c r="F611" s="54"/>
      <x:c r="G611" s="63"/>
      <x:c r="H611" s="54"/>
      <x:c r="I611" s="60"/>
      <x:c r="J611" s="54"/>
      <x:c r="K611" s="54"/>
      <x:c r="L611" s="54"/>
      <x:c r="M611" s="63"/>
    </x:row>
    <x:row r="612">
      <x:c r="A612" s="54"/>
      <x:c r="B612" s="60"/>
      <x:c r="C612" s="54"/>
      <x:c r="D612" s="57" t="str">
        <x:f>IF($C612="","",IFERROR(VLOOKUP($C612,'Leads'!$A$6:$C$505,3,FALSE),"Lead ID not found"))</x:f>
      </x:c>
      <x:c r="E612" s="54"/>
      <x:c r="F612" s="54"/>
      <x:c r="G612" s="63"/>
      <x:c r="H612" s="54"/>
      <x:c r="I612" s="60"/>
      <x:c r="J612" s="54"/>
      <x:c r="K612" s="54"/>
      <x:c r="L612" s="54"/>
      <x:c r="M612" s="63"/>
    </x:row>
    <x:row r="613">
      <x:c r="A613" s="54"/>
      <x:c r="B613" s="60"/>
      <x:c r="C613" s="54"/>
      <x:c r="D613" s="57" t="str">
        <x:f>IF($C613="","",IFERROR(VLOOKUP($C613,'Leads'!$A$6:$C$505,3,FALSE),"Lead ID not found"))</x:f>
      </x:c>
      <x:c r="E613" s="54"/>
      <x:c r="F613" s="54"/>
      <x:c r="G613" s="63"/>
      <x:c r="H613" s="54"/>
      <x:c r="I613" s="60"/>
      <x:c r="J613" s="54"/>
      <x:c r="K613" s="54"/>
      <x:c r="L613" s="54"/>
      <x:c r="M613" s="63"/>
    </x:row>
    <x:row r="614">
      <x:c r="A614" s="54"/>
      <x:c r="B614" s="60"/>
      <x:c r="C614" s="54"/>
      <x:c r="D614" s="57" t="str">
        <x:f>IF($C614="","",IFERROR(VLOOKUP($C614,'Leads'!$A$6:$C$505,3,FALSE),"Lead ID not found"))</x:f>
      </x:c>
      <x:c r="E614" s="54"/>
      <x:c r="F614" s="54"/>
      <x:c r="G614" s="63"/>
      <x:c r="H614" s="54"/>
      <x:c r="I614" s="60"/>
      <x:c r="J614" s="54"/>
      <x:c r="K614" s="54"/>
      <x:c r="L614" s="54"/>
      <x:c r="M614" s="63"/>
    </x:row>
    <x:row r="615">
      <x:c r="A615" s="54"/>
      <x:c r="B615" s="60"/>
      <x:c r="C615" s="54"/>
      <x:c r="D615" s="57" t="str">
        <x:f>IF($C615="","",IFERROR(VLOOKUP($C615,'Leads'!$A$6:$C$505,3,FALSE),"Lead ID not found"))</x:f>
      </x:c>
      <x:c r="E615" s="54"/>
      <x:c r="F615" s="54"/>
      <x:c r="G615" s="63"/>
      <x:c r="H615" s="54"/>
      <x:c r="I615" s="60"/>
      <x:c r="J615" s="54"/>
      <x:c r="K615" s="54"/>
      <x:c r="L615" s="54"/>
      <x:c r="M615" s="63"/>
    </x:row>
    <x:row r="616">
      <x:c r="A616" s="54"/>
      <x:c r="B616" s="60"/>
      <x:c r="C616" s="54"/>
      <x:c r="D616" s="57" t="str">
        <x:f>IF($C616="","",IFERROR(VLOOKUP($C616,'Leads'!$A$6:$C$505,3,FALSE),"Lead ID not found"))</x:f>
      </x:c>
      <x:c r="E616" s="54"/>
      <x:c r="F616" s="54"/>
      <x:c r="G616" s="63"/>
      <x:c r="H616" s="54"/>
      <x:c r="I616" s="60"/>
      <x:c r="J616" s="54"/>
      <x:c r="K616" s="54"/>
      <x:c r="L616" s="54"/>
      <x:c r="M616" s="63"/>
    </x:row>
    <x:row r="617">
      <x:c r="A617" s="54"/>
      <x:c r="B617" s="60"/>
      <x:c r="C617" s="54"/>
      <x:c r="D617" s="57" t="str">
        <x:f>IF($C617="","",IFERROR(VLOOKUP($C617,'Leads'!$A$6:$C$505,3,FALSE),"Lead ID not found"))</x:f>
      </x:c>
      <x:c r="E617" s="54"/>
      <x:c r="F617" s="54"/>
      <x:c r="G617" s="63"/>
      <x:c r="H617" s="54"/>
      <x:c r="I617" s="60"/>
      <x:c r="J617" s="54"/>
      <x:c r="K617" s="54"/>
      <x:c r="L617" s="54"/>
      <x:c r="M617" s="63"/>
    </x:row>
    <x:row r="618">
      <x:c r="A618" s="54"/>
      <x:c r="B618" s="60"/>
      <x:c r="C618" s="54"/>
      <x:c r="D618" s="57" t="str">
        <x:f>IF($C618="","",IFERROR(VLOOKUP($C618,'Leads'!$A$6:$C$505,3,FALSE),"Lead ID not found"))</x:f>
      </x:c>
      <x:c r="E618" s="54"/>
      <x:c r="F618" s="54"/>
      <x:c r="G618" s="63"/>
      <x:c r="H618" s="54"/>
      <x:c r="I618" s="60"/>
      <x:c r="J618" s="54"/>
      <x:c r="K618" s="54"/>
      <x:c r="L618" s="54"/>
      <x:c r="M618" s="63"/>
    </x:row>
    <x:row r="619">
      <x:c r="A619" s="54"/>
      <x:c r="B619" s="60"/>
      <x:c r="C619" s="54"/>
      <x:c r="D619" s="57" t="str">
        <x:f>IF($C619="","",IFERROR(VLOOKUP($C619,'Leads'!$A$6:$C$505,3,FALSE),"Lead ID not found"))</x:f>
      </x:c>
      <x:c r="E619" s="54"/>
      <x:c r="F619" s="54"/>
      <x:c r="G619" s="63"/>
      <x:c r="H619" s="54"/>
      <x:c r="I619" s="60"/>
      <x:c r="J619" s="54"/>
      <x:c r="K619" s="54"/>
      <x:c r="L619" s="54"/>
      <x:c r="M619" s="63"/>
    </x:row>
    <x:row r="620">
      <x:c r="A620" s="54"/>
      <x:c r="B620" s="60"/>
      <x:c r="C620" s="54"/>
      <x:c r="D620" s="57" t="str">
        <x:f>IF($C620="","",IFERROR(VLOOKUP($C620,'Leads'!$A$6:$C$505,3,FALSE),"Lead ID not found"))</x:f>
      </x:c>
      <x:c r="E620" s="54"/>
      <x:c r="F620" s="54"/>
      <x:c r="G620" s="63"/>
      <x:c r="H620" s="54"/>
      <x:c r="I620" s="60"/>
      <x:c r="J620" s="54"/>
      <x:c r="K620" s="54"/>
      <x:c r="L620" s="54"/>
      <x:c r="M620" s="63"/>
    </x:row>
    <x:row r="621">
      <x:c r="A621" s="54"/>
      <x:c r="B621" s="60"/>
      <x:c r="C621" s="54"/>
      <x:c r="D621" s="57" t="str">
        <x:f>IF($C621="","",IFERROR(VLOOKUP($C621,'Leads'!$A$6:$C$505,3,FALSE),"Lead ID not found"))</x:f>
      </x:c>
      <x:c r="E621" s="54"/>
      <x:c r="F621" s="54"/>
      <x:c r="G621" s="63"/>
      <x:c r="H621" s="54"/>
      <x:c r="I621" s="60"/>
      <x:c r="J621" s="54"/>
      <x:c r="K621" s="54"/>
      <x:c r="L621" s="54"/>
      <x:c r="M621" s="63"/>
    </x:row>
    <x:row r="622">
      <x:c r="A622" s="54"/>
      <x:c r="B622" s="60"/>
      <x:c r="C622" s="54"/>
      <x:c r="D622" s="57" t="str">
        <x:f>IF($C622="","",IFERROR(VLOOKUP($C622,'Leads'!$A$6:$C$505,3,FALSE),"Lead ID not found"))</x:f>
      </x:c>
      <x:c r="E622" s="54"/>
      <x:c r="F622" s="54"/>
      <x:c r="G622" s="63"/>
      <x:c r="H622" s="54"/>
      <x:c r="I622" s="60"/>
      <x:c r="J622" s="54"/>
      <x:c r="K622" s="54"/>
      <x:c r="L622" s="54"/>
      <x:c r="M622" s="63"/>
    </x:row>
    <x:row r="623">
      <x:c r="A623" s="54"/>
      <x:c r="B623" s="60"/>
      <x:c r="C623" s="54"/>
      <x:c r="D623" s="57" t="str">
        <x:f>IF($C623="","",IFERROR(VLOOKUP($C623,'Leads'!$A$6:$C$505,3,FALSE),"Lead ID not found"))</x:f>
      </x:c>
      <x:c r="E623" s="54"/>
      <x:c r="F623" s="54"/>
      <x:c r="G623" s="63"/>
      <x:c r="H623" s="54"/>
      <x:c r="I623" s="60"/>
      <x:c r="J623" s="54"/>
      <x:c r="K623" s="54"/>
      <x:c r="L623" s="54"/>
      <x:c r="M623" s="63"/>
    </x:row>
    <x:row r="624">
      <x:c r="A624" s="54"/>
      <x:c r="B624" s="60"/>
      <x:c r="C624" s="54"/>
      <x:c r="D624" s="57" t="str">
        <x:f>IF($C624="","",IFERROR(VLOOKUP($C624,'Leads'!$A$6:$C$505,3,FALSE),"Lead ID not found"))</x:f>
      </x:c>
      <x:c r="E624" s="54"/>
      <x:c r="F624" s="54"/>
      <x:c r="G624" s="63"/>
      <x:c r="H624" s="54"/>
      <x:c r="I624" s="60"/>
      <x:c r="J624" s="54"/>
      <x:c r="K624" s="54"/>
      <x:c r="L624" s="54"/>
      <x:c r="M624" s="63"/>
    </x:row>
    <x:row r="625">
      <x:c r="A625" s="54"/>
      <x:c r="B625" s="60"/>
      <x:c r="C625" s="54"/>
      <x:c r="D625" s="57" t="str">
        <x:f>IF($C625="","",IFERROR(VLOOKUP($C625,'Leads'!$A$6:$C$505,3,FALSE),"Lead ID not found"))</x:f>
      </x:c>
      <x:c r="E625" s="54"/>
      <x:c r="F625" s="54"/>
      <x:c r="G625" s="63"/>
      <x:c r="H625" s="54"/>
      <x:c r="I625" s="60"/>
      <x:c r="J625" s="54"/>
      <x:c r="K625" s="54"/>
      <x:c r="L625" s="54"/>
      <x:c r="M625" s="63"/>
    </x:row>
    <x:row r="626">
      <x:c r="A626" s="54"/>
      <x:c r="B626" s="60"/>
      <x:c r="C626" s="54"/>
      <x:c r="D626" s="57" t="str">
        <x:f>IF($C626="","",IFERROR(VLOOKUP($C626,'Leads'!$A$6:$C$505,3,FALSE),"Lead ID not found"))</x:f>
      </x:c>
      <x:c r="E626" s="54"/>
      <x:c r="F626" s="54"/>
      <x:c r="G626" s="63"/>
      <x:c r="H626" s="54"/>
      <x:c r="I626" s="60"/>
      <x:c r="J626" s="54"/>
      <x:c r="K626" s="54"/>
      <x:c r="L626" s="54"/>
      <x:c r="M626" s="63"/>
    </x:row>
    <x:row r="627">
      <x:c r="A627" s="54"/>
      <x:c r="B627" s="60"/>
      <x:c r="C627" s="54"/>
      <x:c r="D627" s="57" t="str">
        <x:f>IF($C627="","",IFERROR(VLOOKUP($C627,'Leads'!$A$6:$C$505,3,FALSE),"Lead ID not found"))</x:f>
      </x:c>
      <x:c r="E627" s="54"/>
      <x:c r="F627" s="54"/>
      <x:c r="G627" s="63"/>
      <x:c r="H627" s="54"/>
      <x:c r="I627" s="60"/>
      <x:c r="J627" s="54"/>
      <x:c r="K627" s="54"/>
      <x:c r="L627" s="54"/>
      <x:c r="M627" s="63"/>
    </x:row>
    <x:row r="628">
      <x:c r="A628" s="54"/>
      <x:c r="B628" s="60"/>
      <x:c r="C628" s="54"/>
      <x:c r="D628" s="57" t="str">
        <x:f>IF($C628="","",IFERROR(VLOOKUP($C628,'Leads'!$A$6:$C$505,3,FALSE),"Lead ID not found"))</x:f>
      </x:c>
      <x:c r="E628" s="54"/>
      <x:c r="F628" s="54"/>
      <x:c r="G628" s="63"/>
      <x:c r="H628" s="54"/>
      <x:c r="I628" s="60"/>
      <x:c r="J628" s="54"/>
      <x:c r="K628" s="54"/>
      <x:c r="L628" s="54"/>
      <x:c r="M628" s="63"/>
    </x:row>
    <x:row r="629">
      <x:c r="A629" s="54"/>
      <x:c r="B629" s="60"/>
      <x:c r="C629" s="54"/>
      <x:c r="D629" s="57" t="str">
        <x:f>IF($C629="","",IFERROR(VLOOKUP($C629,'Leads'!$A$6:$C$505,3,FALSE),"Lead ID not found"))</x:f>
      </x:c>
      <x:c r="E629" s="54"/>
      <x:c r="F629" s="54"/>
      <x:c r="G629" s="63"/>
      <x:c r="H629" s="54"/>
      <x:c r="I629" s="60"/>
      <x:c r="J629" s="54"/>
      <x:c r="K629" s="54"/>
      <x:c r="L629" s="54"/>
      <x:c r="M629" s="63"/>
    </x:row>
    <x:row r="630">
      <x:c r="A630" s="54"/>
      <x:c r="B630" s="60"/>
      <x:c r="C630" s="54"/>
      <x:c r="D630" s="57" t="str">
        <x:f>IF($C630="","",IFERROR(VLOOKUP($C630,'Leads'!$A$6:$C$505,3,FALSE),"Lead ID not found"))</x:f>
      </x:c>
      <x:c r="E630" s="54"/>
      <x:c r="F630" s="54"/>
      <x:c r="G630" s="63"/>
      <x:c r="H630" s="54"/>
      <x:c r="I630" s="60"/>
      <x:c r="J630" s="54"/>
      <x:c r="K630" s="54"/>
      <x:c r="L630" s="54"/>
      <x:c r="M630" s="63"/>
    </x:row>
    <x:row r="631">
      <x:c r="A631" s="54"/>
      <x:c r="B631" s="60"/>
      <x:c r="C631" s="54"/>
      <x:c r="D631" s="57" t="str">
        <x:f>IF($C631="","",IFERROR(VLOOKUP($C631,'Leads'!$A$6:$C$505,3,FALSE),"Lead ID not found"))</x:f>
      </x:c>
      <x:c r="E631" s="54"/>
      <x:c r="F631" s="54"/>
      <x:c r="G631" s="63"/>
      <x:c r="H631" s="54"/>
      <x:c r="I631" s="60"/>
      <x:c r="J631" s="54"/>
      <x:c r="K631" s="54"/>
      <x:c r="L631" s="54"/>
      <x:c r="M631" s="63"/>
    </x:row>
    <x:row r="632">
      <x:c r="A632" s="54"/>
      <x:c r="B632" s="60"/>
      <x:c r="C632" s="54"/>
      <x:c r="D632" s="57" t="str">
        <x:f>IF($C632="","",IFERROR(VLOOKUP($C632,'Leads'!$A$6:$C$505,3,FALSE),"Lead ID not found"))</x:f>
      </x:c>
      <x:c r="E632" s="54"/>
      <x:c r="F632" s="54"/>
      <x:c r="G632" s="63"/>
      <x:c r="H632" s="54"/>
      <x:c r="I632" s="60"/>
      <x:c r="J632" s="54"/>
      <x:c r="K632" s="54"/>
      <x:c r="L632" s="54"/>
      <x:c r="M632" s="63"/>
    </x:row>
    <x:row r="633">
      <x:c r="A633" s="54"/>
      <x:c r="B633" s="60"/>
      <x:c r="C633" s="54"/>
      <x:c r="D633" s="57" t="str">
        <x:f>IF($C633="","",IFERROR(VLOOKUP($C633,'Leads'!$A$6:$C$505,3,FALSE),"Lead ID not found"))</x:f>
      </x:c>
      <x:c r="E633" s="54"/>
      <x:c r="F633" s="54"/>
      <x:c r="G633" s="63"/>
      <x:c r="H633" s="54"/>
      <x:c r="I633" s="60"/>
      <x:c r="J633" s="54"/>
      <x:c r="K633" s="54"/>
      <x:c r="L633" s="54"/>
      <x:c r="M633" s="63"/>
    </x:row>
    <x:row r="634">
      <x:c r="A634" s="54"/>
      <x:c r="B634" s="60"/>
      <x:c r="C634" s="54"/>
      <x:c r="D634" s="57" t="str">
        <x:f>IF($C634="","",IFERROR(VLOOKUP($C634,'Leads'!$A$6:$C$505,3,FALSE),"Lead ID not found"))</x:f>
      </x:c>
      <x:c r="E634" s="54"/>
      <x:c r="F634" s="54"/>
      <x:c r="G634" s="63"/>
      <x:c r="H634" s="54"/>
      <x:c r="I634" s="60"/>
      <x:c r="J634" s="54"/>
      <x:c r="K634" s="54"/>
      <x:c r="L634" s="54"/>
      <x:c r="M634" s="63"/>
    </x:row>
    <x:row r="635">
      <x:c r="A635" s="54"/>
      <x:c r="B635" s="60"/>
      <x:c r="C635" s="54"/>
      <x:c r="D635" s="57" t="str">
        <x:f>IF($C635="","",IFERROR(VLOOKUP($C635,'Leads'!$A$6:$C$505,3,FALSE),"Lead ID not found"))</x:f>
      </x:c>
      <x:c r="E635" s="54"/>
      <x:c r="F635" s="54"/>
      <x:c r="G635" s="63"/>
      <x:c r="H635" s="54"/>
      <x:c r="I635" s="60"/>
      <x:c r="J635" s="54"/>
      <x:c r="K635" s="54"/>
      <x:c r="L635" s="54"/>
      <x:c r="M635" s="63"/>
    </x:row>
    <x:row r="636">
      <x:c r="A636" s="54"/>
      <x:c r="B636" s="60"/>
      <x:c r="C636" s="54"/>
      <x:c r="D636" s="57" t="str">
        <x:f>IF($C636="","",IFERROR(VLOOKUP($C636,'Leads'!$A$6:$C$505,3,FALSE),"Lead ID not found"))</x:f>
      </x:c>
      <x:c r="E636" s="54"/>
      <x:c r="F636" s="54"/>
      <x:c r="G636" s="63"/>
      <x:c r="H636" s="54"/>
      <x:c r="I636" s="60"/>
      <x:c r="J636" s="54"/>
      <x:c r="K636" s="54"/>
      <x:c r="L636" s="54"/>
      <x:c r="M636" s="63"/>
    </x:row>
    <x:row r="637">
      <x:c r="A637" s="54"/>
      <x:c r="B637" s="60"/>
      <x:c r="C637" s="54"/>
      <x:c r="D637" s="57" t="str">
        <x:f>IF($C637="","",IFERROR(VLOOKUP($C637,'Leads'!$A$6:$C$505,3,FALSE),"Lead ID not found"))</x:f>
      </x:c>
      <x:c r="E637" s="54"/>
      <x:c r="F637" s="54"/>
      <x:c r="G637" s="63"/>
      <x:c r="H637" s="54"/>
      <x:c r="I637" s="60"/>
      <x:c r="J637" s="54"/>
      <x:c r="K637" s="54"/>
      <x:c r="L637" s="54"/>
      <x:c r="M637" s="63"/>
    </x:row>
    <x:row r="638">
      <x:c r="A638" s="54"/>
      <x:c r="B638" s="60"/>
      <x:c r="C638" s="54"/>
      <x:c r="D638" s="57" t="str">
        <x:f>IF($C638="","",IFERROR(VLOOKUP($C638,'Leads'!$A$6:$C$505,3,FALSE),"Lead ID not found"))</x:f>
      </x:c>
      <x:c r="E638" s="54"/>
      <x:c r="F638" s="54"/>
      <x:c r="G638" s="63"/>
      <x:c r="H638" s="54"/>
      <x:c r="I638" s="60"/>
      <x:c r="J638" s="54"/>
      <x:c r="K638" s="54"/>
      <x:c r="L638" s="54"/>
      <x:c r="M638" s="63"/>
    </x:row>
    <x:row r="639">
      <x:c r="A639" s="54"/>
      <x:c r="B639" s="60"/>
      <x:c r="C639" s="54"/>
      <x:c r="D639" s="57" t="str">
        <x:f>IF($C639="","",IFERROR(VLOOKUP($C639,'Leads'!$A$6:$C$505,3,FALSE),"Lead ID not found"))</x:f>
      </x:c>
      <x:c r="E639" s="54"/>
      <x:c r="F639" s="54"/>
      <x:c r="G639" s="63"/>
      <x:c r="H639" s="54"/>
      <x:c r="I639" s="60"/>
      <x:c r="J639" s="54"/>
      <x:c r="K639" s="54"/>
      <x:c r="L639" s="54"/>
      <x:c r="M639" s="63"/>
    </x:row>
    <x:row r="640">
      <x:c r="A640" s="54"/>
      <x:c r="B640" s="60"/>
      <x:c r="C640" s="54"/>
      <x:c r="D640" s="57" t="str">
        <x:f>IF($C640="","",IFERROR(VLOOKUP($C640,'Leads'!$A$6:$C$505,3,FALSE),"Lead ID not found"))</x:f>
      </x:c>
      <x:c r="E640" s="54"/>
      <x:c r="F640" s="54"/>
      <x:c r="G640" s="63"/>
      <x:c r="H640" s="54"/>
      <x:c r="I640" s="60"/>
      <x:c r="J640" s="54"/>
      <x:c r="K640" s="54"/>
      <x:c r="L640" s="54"/>
      <x:c r="M640" s="63"/>
    </x:row>
    <x:row r="641">
      <x:c r="A641" s="54"/>
      <x:c r="B641" s="60"/>
      <x:c r="C641" s="54"/>
      <x:c r="D641" s="57" t="str">
        <x:f>IF($C641="","",IFERROR(VLOOKUP($C641,'Leads'!$A$6:$C$505,3,FALSE),"Lead ID not found"))</x:f>
      </x:c>
      <x:c r="E641" s="54"/>
      <x:c r="F641" s="54"/>
      <x:c r="G641" s="63"/>
      <x:c r="H641" s="54"/>
      <x:c r="I641" s="60"/>
      <x:c r="J641" s="54"/>
      <x:c r="K641" s="54"/>
      <x:c r="L641" s="54"/>
      <x:c r="M641" s="63"/>
    </x:row>
    <x:row r="642">
      <x:c r="A642" s="54"/>
      <x:c r="B642" s="60"/>
      <x:c r="C642" s="54"/>
      <x:c r="D642" s="57" t="str">
        <x:f>IF($C642="","",IFERROR(VLOOKUP($C642,'Leads'!$A$6:$C$505,3,FALSE),"Lead ID not found"))</x:f>
      </x:c>
      <x:c r="E642" s="54"/>
      <x:c r="F642" s="54"/>
      <x:c r="G642" s="63"/>
      <x:c r="H642" s="54"/>
      <x:c r="I642" s="60"/>
      <x:c r="J642" s="54"/>
      <x:c r="K642" s="54"/>
      <x:c r="L642" s="54"/>
      <x:c r="M642" s="63"/>
    </x:row>
    <x:row r="643">
      <x:c r="A643" s="54"/>
      <x:c r="B643" s="60"/>
      <x:c r="C643" s="54"/>
      <x:c r="D643" s="57" t="str">
        <x:f>IF($C643="","",IFERROR(VLOOKUP($C643,'Leads'!$A$6:$C$505,3,FALSE),"Lead ID not found"))</x:f>
      </x:c>
      <x:c r="E643" s="54"/>
      <x:c r="F643" s="54"/>
      <x:c r="G643" s="63"/>
      <x:c r="H643" s="54"/>
      <x:c r="I643" s="60"/>
      <x:c r="J643" s="54"/>
      <x:c r="K643" s="54"/>
      <x:c r="L643" s="54"/>
      <x:c r="M643" s="63"/>
    </x:row>
    <x:row r="644">
      <x:c r="A644" s="54"/>
      <x:c r="B644" s="60"/>
      <x:c r="C644" s="54"/>
      <x:c r="D644" s="57" t="str">
        <x:f>IF($C644="","",IFERROR(VLOOKUP($C644,'Leads'!$A$6:$C$505,3,FALSE),"Lead ID not found"))</x:f>
      </x:c>
      <x:c r="E644" s="54"/>
      <x:c r="F644" s="54"/>
      <x:c r="G644" s="63"/>
      <x:c r="H644" s="54"/>
      <x:c r="I644" s="60"/>
      <x:c r="J644" s="54"/>
      <x:c r="K644" s="54"/>
      <x:c r="L644" s="54"/>
      <x:c r="M644" s="63"/>
    </x:row>
    <x:row r="645">
      <x:c r="A645" s="54"/>
      <x:c r="B645" s="60"/>
      <x:c r="C645" s="54"/>
      <x:c r="D645" s="57" t="str">
        <x:f>IF($C645="","",IFERROR(VLOOKUP($C645,'Leads'!$A$6:$C$505,3,FALSE),"Lead ID not found"))</x:f>
      </x:c>
      <x:c r="E645" s="54"/>
      <x:c r="F645" s="54"/>
      <x:c r="G645" s="63"/>
      <x:c r="H645" s="54"/>
      <x:c r="I645" s="60"/>
      <x:c r="J645" s="54"/>
      <x:c r="K645" s="54"/>
      <x:c r="L645" s="54"/>
      <x:c r="M645" s="63"/>
    </x:row>
    <x:row r="646">
      <x:c r="A646" s="54"/>
      <x:c r="B646" s="60"/>
      <x:c r="C646" s="54"/>
      <x:c r="D646" s="57" t="str">
        <x:f>IF($C646="","",IFERROR(VLOOKUP($C646,'Leads'!$A$6:$C$505,3,FALSE),"Lead ID not found"))</x:f>
      </x:c>
      <x:c r="E646" s="54"/>
      <x:c r="F646" s="54"/>
      <x:c r="G646" s="63"/>
      <x:c r="H646" s="54"/>
      <x:c r="I646" s="60"/>
      <x:c r="J646" s="54"/>
      <x:c r="K646" s="54"/>
      <x:c r="L646" s="54"/>
      <x:c r="M646" s="63"/>
    </x:row>
    <x:row r="647">
      <x:c r="A647" s="54"/>
      <x:c r="B647" s="60"/>
      <x:c r="C647" s="54"/>
      <x:c r="D647" s="57" t="str">
        <x:f>IF($C647="","",IFERROR(VLOOKUP($C647,'Leads'!$A$6:$C$505,3,FALSE),"Lead ID not found"))</x:f>
      </x:c>
      <x:c r="E647" s="54"/>
      <x:c r="F647" s="54"/>
      <x:c r="G647" s="63"/>
      <x:c r="H647" s="54"/>
      <x:c r="I647" s="60"/>
      <x:c r="J647" s="54"/>
      <x:c r="K647" s="54"/>
      <x:c r="L647" s="54"/>
      <x:c r="M647" s="63"/>
    </x:row>
    <x:row r="648">
      <x:c r="A648" s="54"/>
      <x:c r="B648" s="60"/>
      <x:c r="C648" s="54"/>
      <x:c r="D648" s="57" t="str">
        <x:f>IF($C648="","",IFERROR(VLOOKUP($C648,'Leads'!$A$6:$C$505,3,FALSE),"Lead ID not found"))</x:f>
      </x:c>
      <x:c r="E648" s="54"/>
      <x:c r="F648" s="54"/>
      <x:c r="G648" s="63"/>
      <x:c r="H648" s="54"/>
      <x:c r="I648" s="60"/>
      <x:c r="J648" s="54"/>
      <x:c r="K648" s="54"/>
      <x:c r="L648" s="54"/>
      <x:c r="M648" s="63"/>
    </x:row>
    <x:row r="649">
      <x:c r="A649" s="54"/>
      <x:c r="B649" s="60"/>
      <x:c r="C649" s="54"/>
      <x:c r="D649" s="57" t="str">
        <x:f>IF($C649="","",IFERROR(VLOOKUP($C649,'Leads'!$A$6:$C$505,3,FALSE),"Lead ID not found"))</x:f>
      </x:c>
      <x:c r="E649" s="54"/>
      <x:c r="F649" s="54"/>
      <x:c r="G649" s="63"/>
      <x:c r="H649" s="54"/>
      <x:c r="I649" s="60"/>
      <x:c r="J649" s="54"/>
      <x:c r="K649" s="54"/>
      <x:c r="L649" s="54"/>
      <x:c r="M649" s="63"/>
    </x:row>
    <x:row r="650">
      <x:c r="A650" s="54"/>
      <x:c r="B650" s="60"/>
      <x:c r="C650" s="54"/>
      <x:c r="D650" s="57" t="str">
        <x:f>IF($C650="","",IFERROR(VLOOKUP($C650,'Leads'!$A$6:$C$505,3,FALSE),"Lead ID not found"))</x:f>
      </x:c>
      <x:c r="E650" s="54"/>
      <x:c r="F650" s="54"/>
      <x:c r="G650" s="63"/>
      <x:c r="H650" s="54"/>
      <x:c r="I650" s="60"/>
      <x:c r="J650" s="54"/>
      <x:c r="K650" s="54"/>
      <x:c r="L650" s="54"/>
      <x:c r="M650" s="63"/>
    </x:row>
    <x:row r="651">
      <x:c r="A651" s="54"/>
      <x:c r="B651" s="60"/>
      <x:c r="C651" s="54"/>
      <x:c r="D651" s="57" t="str">
        <x:f>IF($C651="","",IFERROR(VLOOKUP($C651,'Leads'!$A$6:$C$505,3,FALSE),"Lead ID not found"))</x:f>
      </x:c>
      <x:c r="E651" s="54"/>
      <x:c r="F651" s="54"/>
      <x:c r="G651" s="63"/>
      <x:c r="H651" s="54"/>
      <x:c r="I651" s="60"/>
      <x:c r="J651" s="54"/>
      <x:c r="K651" s="54"/>
      <x:c r="L651" s="54"/>
      <x:c r="M651" s="63"/>
    </x:row>
    <x:row r="652">
      <x:c r="A652" s="54"/>
      <x:c r="B652" s="60"/>
      <x:c r="C652" s="54"/>
      <x:c r="D652" s="57" t="str">
        <x:f>IF($C652="","",IFERROR(VLOOKUP($C652,'Leads'!$A$6:$C$505,3,FALSE),"Lead ID not found"))</x:f>
      </x:c>
      <x:c r="E652" s="54"/>
      <x:c r="F652" s="54"/>
      <x:c r="G652" s="63"/>
      <x:c r="H652" s="54"/>
      <x:c r="I652" s="60"/>
      <x:c r="J652" s="54"/>
      <x:c r="K652" s="54"/>
      <x:c r="L652" s="54"/>
      <x:c r="M652" s="63"/>
    </x:row>
    <x:row r="653">
      <x:c r="A653" s="54"/>
      <x:c r="B653" s="60"/>
      <x:c r="C653" s="54"/>
      <x:c r="D653" s="57" t="str">
        <x:f>IF($C653="","",IFERROR(VLOOKUP($C653,'Leads'!$A$6:$C$505,3,FALSE),"Lead ID not found"))</x:f>
      </x:c>
      <x:c r="E653" s="54"/>
      <x:c r="F653" s="54"/>
      <x:c r="G653" s="63"/>
      <x:c r="H653" s="54"/>
      <x:c r="I653" s="60"/>
      <x:c r="J653" s="54"/>
      <x:c r="K653" s="54"/>
      <x:c r="L653" s="54"/>
      <x:c r="M653" s="63"/>
    </x:row>
    <x:row r="654">
      <x:c r="A654" s="54"/>
      <x:c r="B654" s="60"/>
      <x:c r="C654" s="54"/>
      <x:c r="D654" s="57" t="str">
        <x:f>IF($C654="","",IFERROR(VLOOKUP($C654,'Leads'!$A$6:$C$505,3,FALSE),"Lead ID not found"))</x:f>
      </x:c>
      <x:c r="E654" s="54"/>
      <x:c r="F654" s="54"/>
      <x:c r="G654" s="63"/>
      <x:c r="H654" s="54"/>
      <x:c r="I654" s="60"/>
      <x:c r="J654" s="54"/>
      <x:c r="K654" s="54"/>
      <x:c r="L654" s="54"/>
      <x:c r="M654" s="63"/>
    </x:row>
    <x:row r="655">
      <x:c r="A655" s="54"/>
      <x:c r="B655" s="60"/>
      <x:c r="C655" s="54"/>
      <x:c r="D655" s="57" t="str">
        <x:f>IF($C655="","",IFERROR(VLOOKUP($C655,'Leads'!$A$6:$C$505,3,FALSE),"Lead ID not found"))</x:f>
      </x:c>
      <x:c r="E655" s="54"/>
      <x:c r="F655" s="54"/>
      <x:c r="G655" s="63"/>
      <x:c r="H655" s="54"/>
      <x:c r="I655" s="60"/>
      <x:c r="J655" s="54"/>
      <x:c r="K655" s="54"/>
      <x:c r="L655" s="54"/>
      <x:c r="M655" s="63"/>
    </x:row>
    <x:row r="656">
      <x:c r="A656" s="54"/>
      <x:c r="B656" s="60"/>
      <x:c r="C656" s="54"/>
      <x:c r="D656" s="57" t="str">
        <x:f>IF($C656="","",IFERROR(VLOOKUP($C656,'Leads'!$A$6:$C$505,3,FALSE),"Lead ID not found"))</x:f>
      </x:c>
      <x:c r="E656" s="54"/>
      <x:c r="F656" s="54"/>
      <x:c r="G656" s="63"/>
      <x:c r="H656" s="54"/>
      <x:c r="I656" s="60"/>
      <x:c r="J656" s="54"/>
      <x:c r="K656" s="54"/>
      <x:c r="L656" s="54"/>
      <x:c r="M656" s="63"/>
    </x:row>
    <x:row r="657">
      <x:c r="A657" s="54"/>
      <x:c r="B657" s="60"/>
      <x:c r="C657" s="54"/>
      <x:c r="D657" s="57" t="str">
        <x:f>IF($C657="","",IFERROR(VLOOKUP($C657,'Leads'!$A$6:$C$505,3,FALSE),"Lead ID not found"))</x:f>
      </x:c>
      <x:c r="E657" s="54"/>
      <x:c r="F657" s="54"/>
      <x:c r="G657" s="63"/>
      <x:c r="H657" s="54"/>
      <x:c r="I657" s="60"/>
      <x:c r="J657" s="54"/>
      <x:c r="K657" s="54"/>
      <x:c r="L657" s="54"/>
      <x:c r="M657" s="63"/>
    </x:row>
    <x:row r="658">
      <x:c r="A658" s="54"/>
      <x:c r="B658" s="60"/>
      <x:c r="C658" s="54"/>
      <x:c r="D658" s="57" t="str">
        <x:f>IF($C658="","",IFERROR(VLOOKUP($C658,'Leads'!$A$6:$C$505,3,FALSE),"Lead ID not found"))</x:f>
      </x:c>
      <x:c r="E658" s="54"/>
      <x:c r="F658" s="54"/>
      <x:c r="G658" s="63"/>
      <x:c r="H658" s="54"/>
      <x:c r="I658" s="60"/>
      <x:c r="J658" s="54"/>
      <x:c r="K658" s="54"/>
      <x:c r="L658" s="54"/>
      <x:c r="M658" s="63"/>
    </x:row>
    <x:row r="659">
      <x:c r="A659" s="54"/>
      <x:c r="B659" s="60"/>
      <x:c r="C659" s="54"/>
      <x:c r="D659" s="57" t="str">
        <x:f>IF($C659="","",IFERROR(VLOOKUP($C659,'Leads'!$A$6:$C$505,3,FALSE),"Lead ID not found"))</x:f>
      </x:c>
      <x:c r="E659" s="54"/>
      <x:c r="F659" s="54"/>
      <x:c r="G659" s="63"/>
      <x:c r="H659" s="54"/>
      <x:c r="I659" s="60"/>
      <x:c r="J659" s="54"/>
      <x:c r="K659" s="54"/>
      <x:c r="L659" s="54"/>
      <x:c r="M659" s="63"/>
    </x:row>
    <x:row r="660">
      <x:c r="A660" s="54"/>
      <x:c r="B660" s="60"/>
      <x:c r="C660" s="54"/>
      <x:c r="D660" s="57" t="str">
        <x:f>IF($C660="","",IFERROR(VLOOKUP($C660,'Leads'!$A$6:$C$505,3,FALSE),"Lead ID not found"))</x:f>
      </x:c>
      <x:c r="E660" s="54"/>
      <x:c r="F660" s="54"/>
      <x:c r="G660" s="63"/>
      <x:c r="H660" s="54"/>
      <x:c r="I660" s="60"/>
      <x:c r="J660" s="54"/>
      <x:c r="K660" s="54"/>
      <x:c r="L660" s="54"/>
      <x:c r="M660" s="63"/>
    </x:row>
    <x:row r="661">
      <x:c r="A661" s="54"/>
      <x:c r="B661" s="60"/>
      <x:c r="C661" s="54"/>
      <x:c r="D661" s="57" t="str">
        <x:f>IF($C661="","",IFERROR(VLOOKUP($C661,'Leads'!$A$6:$C$505,3,FALSE),"Lead ID not found"))</x:f>
      </x:c>
      <x:c r="E661" s="54"/>
      <x:c r="F661" s="54"/>
      <x:c r="G661" s="63"/>
      <x:c r="H661" s="54"/>
      <x:c r="I661" s="60"/>
      <x:c r="J661" s="54"/>
      <x:c r="K661" s="54"/>
      <x:c r="L661" s="54"/>
      <x:c r="M661" s="63"/>
    </x:row>
    <x:row r="662">
      <x:c r="A662" s="54"/>
      <x:c r="B662" s="60"/>
      <x:c r="C662" s="54"/>
      <x:c r="D662" s="57" t="str">
        <x:f>IF($C662="","",IFERROR(VLOOKUP($C662,'Leads'!$A$6:$C$505,3,FALSE),"Lead ID not found"))</x:f>
      </x:c>
      <x:c r="E662" s="54"/>
      <x:c r="F662" s="54"/>
      <x:c r="G662" s="63"/>
      <x:c r="H662" s="54"/>
      <x:c r="I662" s="60"/>
      <x:c r="J662" s="54"/>
      <x:c r="K662" s="54"/>
      <x:c r="L662" s="54"/>
      <x:c r="M662" s="63"/>
    </x:row>
    <x:row r="663">
      <x:c r="A663" s="54"/>
      <x:c r="B663" s="60"/>
      <x:c r="C663" s="54"/>
      <x:c r="D663" s="57" t="str">
        <x:f>IF($C663="","",IFERROR(VLOOKUP($C663,'Leads'!$A$6:$C$505,3,FALSE),"Lead ID not found"))</x:f>
      </x:c>
      <x:c r="E663" s="54"/>
      <x:c r="F663" s="54"/>
      <x:c r="G663" s="63"/>
      <x:c r="H663" s="54"/>
      <x:c r="I663" s="60"/>
      <x:c r="J663" s="54"/>
      <x:c r="K663" s="54"/>
      <x:c r="L663" s="54"/>
      <x:c r="M663" s="63"/>
    </x:row>
    <x:row r="664">
      <x:c r="A664" s="54"/>
      <x:c r="B664" s="60"/>
      <x:c r="C664" s="54"/>
      <x:c r="D664" s="57" t="str">
        <x:f>IF($C664="","",IFERROR(VLOOKUP($C664,'Leads'!$A$6:$C$505,3,FALSE),"Lead ID not found"))</x:f>
      </x:c>
      <x:c r="E664" s="54"/>
      <x:c r="F664" s="54"/>
      <x:c r="G664" s="63"/>
      <x:c r="H664" s="54"/>
      <x:c r="I664" s="60"/>
      <x:c r="J664" s="54"/>
      <x:c r="K664" s="54"/>
      <x:c r="L664" s="54"/>
      <x:c r="M664" s="63"/>
    </x:row>
    <x:row r="665">
      <x:c r="A665" s="54"/>
      <x:c r="B665" s="60"/>
      <x:c r="C665" s="54"/>
      <x:c r="D665" s="57" t="str">
        <x:f>IF($C665="","",IFERROR(VLOOKUP($C665,'Leads'!$A$6:$C$505,3,FALSE),"Lead ID not found"))</x:f>
      </x:c>
      <x:c r="E665" s="54"/>
      <x:c r="F665" s="54"/>
      <x:c r="G665" s="63"/>
      <x:c r="H665" s="54"/>
      <x:c r="I665" s="60"/>
      <x:c r="J665" s="54"/>
      <x:c r="K665" s="54"/>
      <x:c r="L665" s="54"/>
      <x:c r="M665" s="63"/>
    </x:row>
    <x:row r="666">
      <x:c r="A666" s="54"/>
      <x:c r="B666" s="60"/>
      <x:c r="C666" s="54"/>
      <x:c r="D666" s="57" t="str">
        <x:f>IF($C666="","",IFERROR(VLOOKUP($C666,'Leads'!$A$6:$C$505,3,FALSE),"Lead ID not found"))</x:f>
      </x:c>
      <x:c r="E666" s="54"/>
      <x:c r="F666" s="54"/>
      <x:c r="G666" s="63"/>
      <x:c r="H666" s="54"/>
      <x:c r="I666" s="60"/>
      <x:c r="J666" s="54"/>
      <x:c r="K666" s="54"/>
      <x:c r="L666" s="54"/>
      <x:c r="M666" s="63"/>
    </x:row>
    <x:row r="667">
      <x:c r="A667" s="54"/>
      <x:c r="B667" s="60"/>
      <x:c r="C667" s="54"/>
      <x:c r="D667" s="57" t="str">
        <x:f>IF($C667="","",IFERROR(VLOOKUP($C667,'Leads'!$A$6:$C$505,3,FALSE),"Lead ID not found"))</x:f>
      </x:c>
      <x:c r="E667" s="54"/>
      <x:c r="F667" s="54"/>
      <x:c r="G667" s="63"/>
      <x:c r="H667" s="54"/>
      <x:c r="I667" s="60"/>
      <x:c r="J667" s="54"/>
      <x:c r="K667" s="54"/>
      <x:c r="L667" s="54"/>
      <x:c r="M667" s="63"/>
    </x:row>
    <x:row r="668">
      <x:c r="A668" s="54"/>
      <x:c r="B668" s="60"/>
      <x:c r="C668" s="54"/>
      <x:c r="D668" s="57" t="str">
        <x:f>IF($C668="","",IFERROR(VLOOKUP($C668,'Leads'!$A$6:$C$505,3,FALSE),"Lead ID not found"))</x:f>
      </x:c>
      <x:c r="E668" s="54"/>
      <x:c r="F668" s="54"/>
      <x:c r="G668" s="63"/>
      <x:c r="H668" s="54"/>
      <x:c r="I668" s="60"/>
      <x:c r="J668" s="54"/>
      <x:c r="K668" s="54"/>
      <x:c r="L668" s="54"/>
      <x:c r="M668" s="63"/>
    </x:row>
    <x:row r="669">
      <x:c r="A669" s="54"/>
      <x:c r="B669" s="60"/>
      <x:c r="C669" s="54"/>
      <x:c r="D669" s="57" t="str">
        <x:f>IF($C669="","",IFERROR(VLOOKUP($C669,'Leads'!$A$6:$C$505,3,FALSE),"Lead ID not found"))</x:f>
      </x:c>
      <x:c r="E669" s="54"/>
      <x:c r="F669" s="54"/>
      <x:c r="G669" s="63"/>
      <x:c r="H669" s="54"/>
      <x:c r="I669" s="60"/>
      <x:c r="J669" s="54"/>
      <x:c r="K669" s="54"/>
      <x:c r="L669" s="54"/>
      <x:c r="M669" s="63"/>
    </x:row>
    <x:row r="670">
      <x:c r="A670" s="54"/>
      <x:c r="B670" s="60"/>
      <x:c r="C670" s="54"/>
      <x:c r="D670" s="57" t="str">
        <x:f>IF($C670="","",IFERROR(VLOOKUP($C670,'Leads'!$A$6:$C$505,3,FALSE),"Lead ID not found"))</x:f>
      </x:c>
      <x:c r="E670" s="54"/>
      <x:c r="F670" s="54"/>
      <x:c r="G670" s="63"/>
      <x:c r="H670" s="54"/>
      <x:c r="I670" s="60"/>
      <x:c r="J670" s="54"/>
      <x:c r="K670" s="54"/>
      <x:c r="L670" s="54"/>
      <x:c r="M670" s="63"/>
    </x:row>
    <x:row r="671">
      <x:c r="A671" s="54"/>
      <x:c r="B671" s="60"/>
      <x:c r="C671" s="54"/>
      <x:c r="D671" s="57" t="str">
        <x:f>IF($C671="","",IFERROR(VLOOKUP($C671,'Leads'!$A$6:$C$505,3,FALSE),"Lead ID not found"))</x:f>
      </x:c>
      <x:c r="E671" s="54"/>
      <x:c r="F671" s="54"/>
      <x:c r="G671" s="63"/>
      <x:c r="H671" s="54"/>
      <x:c r="I671" s="60"/>
      <x:c r="J671" s="54"/>
      <x:c r="K671" s="54"/>
      <x:c r="L671" s="54"/>
      <x:c r="M671" s="63"/>
    </x:row>
    <x:row r="672">
      <x:c r="A672" s="54"/>
      <x:c r="B672" s="60"/>
      <x:c r="C672" s="54"/>
      <x:c r="D672" s="57" t="str">
        <x:f>IF($C672="","",IFERROR(VLOOKUP($C672,'Leads'!$A$6:$C$505,3,FALSE),"Lead ID not found"))</x:f>
      </x:c>
      <x:c r="E672" s="54"/>
      <x:c r="F672" s="54"/>
      <x:c r="G672" s="63"/>
      <x:c r="H672" s="54"/>
      <x:c r="I672" s="60"/>
      <x:c r="J672" s="54"/>
      <x:c r="K672" s="54"/>
      <x:c r="L672" s="54"/>
      <x:c r="M672" s="63"/>
    </x:row>
    <x:row r="673">
      <x:c r="A673" s="54"/>
      <x:c r="B673" s="60"/>
      <x:c r="C673" s="54"/>
      <x:c r="D673" s="57" t="str">
        <x:f>IF($C673="","",IFERROR(VLOOKUP($C673,'Leads'!$A$6:$C$505,3,FALSE),"Lead ID not found"))</x:f>
      </x:c>
      <x:c r="E673" s="54"/>
      <x:c r="F673" s="54"/>
      <x:c r="G673" s="63"/>
      <x:c r="H673" s="54"/>
      <x:c r="I673" s="60"/>
      <x:c r="J673" s="54"/>
      <x:c r="K673" s="54"/>
      <x:c r="L673" s="54"/>
      <x:c r="M673" s="63"/>
    </x:row>
    <x:row r="674">
      <x:c r="A674" s="54"/>
      <x:c r="B674" s="60"/>
      <x:c r="C674" s="54"/>
      <x:c r="D674" s="57" t="str">
        <x:f>IF($C674="","",IFERROR(VLOOKUP($C674,'Leads'!$A$6:$C$505,3,FALSE),"Lead ID not found"))</x:f>
      </x:c>
      <x:c r="E674" s="54"/>
      <x:c r="F674" s="54"/>
      <x:c r="G674" s="63"/>
      <x:c r="H674" s="54"/>
      <x:c r="I674" s="60"/>
      <x:c r="J674" s="54"/>
      <x:c r="K674" s="54"/>
      <x:c r="L674" s="54"/>
      <x:c r="M674" s="63"/>
    </x:row>
    <x:row r="675">
      <x:c r="A675" s="54"/>
      <x:c r="B675" s="60"/>
      <x:c r="C675" s="54"/>
      <x:c r="D675" s="57" t="str">
        <x:f>IF($C675="","",IFERROR(VLOOKUP($C675,'Leads'!$A$6:$C$505,3,FALSE),"Lead ID not found"))</x:f>
      </x:c>
      <x:c r="E675" s="54"/>
      <x:c r="F675" s="54"/>
      <x:c r="G675" s="63"/>
      <x:c r="H675" s="54"/>
      <x:c r="I675" s="60"/>
      <x:c r="J675" s="54"/>
      <x:c r="K675" s="54"/>
      <x:c r="L675" s="54"/>
      <x:c r="M675" s="63"/>
    </x:row>
    <x:row r="676">
      <x:c r="A676" s="54"/>
      <x:c r="B676" s="60"/>
      <x:c r="C676" s="54"/>
      <x:c r="D676" s="57" t="str">
        <x:f>IF($C676="","",IFERROR(VLOOKUP($C676,'Leads'!$A$6:$C$505,3,FALSE),"Lead ID not found"))</x:f>
      </x:c>
      <x:c r="E676" s="54"/>
      <x:c r="F676" s="54"/>
      <x:c r="G676" s="63"/>
      <x:c r="H676" s="54"/>
      <x:c r="I676" s="60"/>
      <x:c r="J676" s="54"/>
      <x:c r="K676" s="54"/>
      <x:c r="L676" s="54"/>
      <x:c r="M676" s="63"/>
    </x:row>
    <x:row r="677">
      <x:c r="A677" s="54"/>
      <x:c r="B677" s="60"/>
      <x:c r="C677" s="54"/>
      <x:c r="D677" s="57" t="str">
        <x:f>IF($C677="","",IFERROR(VLOOKUP($C677,'Leads'!$A$6:$C$505,3,FALSE),"Lead ID not found"))</x:f>
      </x:c>
      <x:c r="E677" s="54"/>
      <x:c r="F677" s="54"/>
      <x:c r="G677" s="63"/>
      <x:c r="H677" s="54"/>
      <x:c r="I677" s="60"/>
      <x:c r="J677" s="54"/>
      <x:c r="K677" s="54"/>
      <x:c r="L677" s="54"/>
      <x:c r="M677" s="63"/>
    </x:row>
    <x:row r="678">
      <x:c r="A678" s="54"/>
      <x:c r="B678" s="60"/>
      <x:c r="C678" s="54"/>
      <x:c r="D678" s="57" t="str">
        <x:f>IF($C678="","",IFERROR(VLOOKUP($C678,'Leads'!$A$6:$C$505,3,FALSE),"Lead ID not found"))</x:f>
      </x:c>
      <x:c r="E678" s="54"/>
      <x:c r="F678" s="54"/>
      <x:c r="G678" s="63"/>
      <x:c r="H678" s="54"/>
      <x:c r="I678" s="60"/>
      <x:c r="J678" s="54"/>
      <x:c r="K678" s="54"/>
      <x:c r="L678" s="54"/>
      <x:c r="M678" s="63"/>
    </x:row>
    <x:row r="679">
      <x:c r="A679" s="54"/>
      <x:c r="B679" s="60"/>
      <x:c r="C679" s="54"/>
      <x:c r="D679" s="57" t="str">
        <x:f>IF($C679="","",IFERROR(VLOOKUP($C679,'Leads'!$A$6:$C$505,3,FALSE),"Lead ID not found"))</x:f>
      </x:c>
      <x:c r="E679" s="54"/>
      <x:c r="F679" s="54"/>
      <x:c r="G679" s="63"/>
      <x:c r="H679" s="54"/>
      <x:c r="I679" s="60"/>
      <x:c r="J679" s="54"/>
      <x:c r="K679" s="54"/>
      <x:c r="L679" s="54"/>
      <x:c r="M679" s="63"/>
    </x:row>
    <x:row r="680">
      <x:c r="A680" s="54"/>
      <x:c r="B680" s="60"/>
      <x:c r="C680" s="54"/>
      <x:c r="D680" s="57" t="str">
        <x:f>IF($C680="","",IFERROR(VLOOKUP($C680,'Leads'!$A$6:$C$505,3,FALSE),"Lead ID not found"))</x:f>
      </x:c>
      <x:c r="E680" s="54"/>
      <x:c r="F680" s="54"/>
      <x:c r="G680" s="63"/>
      <x:c r="H680" s="54"/>
      <x:c r="I680" s="60"/>
      <x:c r="J680" s="54"/>
      <x:c r="K680" s="54"/>
      <x:c r="L680" s="54"/>
      <x:c r="M680" s="63"/>
    </x:row>
    <x:row r="681">
      <x:c r="A681" s="54"/>
      <x:c r="B681" s="60"/>
      <x:c r="C681" s="54"/>
      <x:c r="D681" s="57" t="str">
        <x:f>IF($C681="","",IFERROR(VLOOKUP($C681,'Leads'!$A$6:$C$505,3,FALSE),"Lead ID not found"))</x:f>
      </x:c>
      <x:c r="E681" s="54"/>
      <x:c r="F681" s="54"/>
      <x:c r="G681" s="63"/>
      <x:c r="H681" s="54"/>
      <x:c r="I681" s="60"/>
      <x:c r="J681" s="54"/>
      <x:c r="K681" s="54"/>
      <x:c r="L681" s="54"/>
      <x:c r="M681" s="63"/>
    </x:row>
    <x:row r="682">
      <x:c r="A682" s="54"/>
      <x:c r="B682" s="60"/>
      <x:c r="C682" s="54"/>
      <x:c r="D682" s="57" t="str">
        <x:f>IF($C682="","",IFERROR(VLOOKUP($C682,'Leads'!$A$6:$C$505,3,FALSE),"Lead ID not found"))</x:f>
      </x:c>
      <x:c r="E682" s="54"/>
      <x:c r="F682" s="54"/>
      <x:c r="G682" s="63"/>
      <x:c r="H682" s="54"/>
      <x:c r="I682" s="60"/>
      <x:c r="J682" s="54"/>
      <x:c r="K682" s="54"/>
      <x:c r="L682" s="54"/>
      <x:c r="M682" s="63"/>
    </x:row>
    <x:row r="683">
      <x:c r="A683" s="54"/>
      <x:c r="B683" s="60"/>
      <x:c r="C683" s="54"/>
      <x:c r="D683" s="57" t="str">
        <x:f>IF($C683="","",IFERROR(VLOOKUP($C683,'Leads'!$A$6:$C$505,3,FALSE),"Lead ID not found"))</x:f>
      </x:c>
      <x:c r="E683" s="54"/>
      <x:c r="F683" s="54"/>
      <x:c r="G683" s="63"/>
      <x:c r="H683" s="54"/>
      <x:c r="I683" s="60"/>
      <x:c r="J683" s="54"/>
      <x:c r="K683" s="54"/>
      <x:c r="L683" s="54"/>
      <x:c r="M683" s="63"/>
    </x:row>
    <x:row r="684">
      <x:c r="A684" s="54"/>
      <x:c r="B684" s="60"/>
      <x:c r="C684" s="54"/>
      <x:c r="D684" s="57" t="str">
        <x:f>IF($C684="","",IFERROR(VLOOKUP($C684,'Leads'!$A$6:$C$505,3,FALSE),"Lead ID not found"))</x:f>
      </x:c>
      <x:c r="E684" s="54"/>
      <x:c r="F684" s="54"/>
      <x:c r="G684" s="63"/>
      <x:c r="H684" s="54"/>
      <x:c r="I684" s="60"/>
      <x:c r="J684" s="54"/>
      <x:c r="K684" s="54"/>
      <x:c r="L684" s="54"/>
      <x:c r="M684" s="63"/>
    </x:row>
    <x:row r="685">
      <x:c r="A685" s="54"/>
      <x:c r="B685" s="60"/>
      <x:c r="C685" s="54"/>
      <x:c r="D685" s="57" t="str">
        <x:f>IF($C685="","",IFERROR(VLOOKUP($C685,'Leads'!$A$6:$C$505,3,FALSE),"Lead ID not found"))</x:f>
      </x:c>
      <x:c r="E685" s="54"/>
      <x:c r="F685" s="54"/>
      <x:c r="G685" s="63"/>
      <x:c r="H685" s="54"/>
      <x:c r="I685" s="60"/>
      <x:c r="J685" s="54"/>
      <x:c r="K685" s="54"/>
      <x:c r="L685" s="54"/>
      <x:c r="M685" s="63"/>
    </x:row>
    <x:row r="686">
      <x:c r="A686" s="54"/>
      <x:c r="B686" s="60"/>
      <x:c r="C686" s="54"/>
      <x:c r="D686" s="57" t="str">
        <x:f>IF($C686="","",IFERROR(VLOOKUP($C686,'Leads'!$A$6:$C$505,3,FALSE),"Lead ID not found"))</x:f>
      </x:c>
      <x:c r="E686" s="54"/>
      <x:c r="F686" s="54"/>
      <x:c r="G686" s="63"/>
      <x:c r="H686" s="54"/>
      <x:c r="I686" s="60"/>
      <x:c r="J686" s="54"/>
      <x:c r="K686" s="54"/>
      <x:c r="L686" s="54"/>
      <x:c r="M686" s="63"/>
    </x:row>
    <x:row r="687">
      <x:c r="A687" s="54"/>
      <x:c r="B687" s="60"/>
      <x:c r="C687" s="54"/>
      <x:c r="D687" s="57" t="str">
        <x:f>IF($C687="","",IFERROR(VLOOKUP($C687,'Leads'!$A$6:$C$505,3,FALSE),"Lead ID not found"))</x:f>
      </x:c>
      <x:c r="E687" s="54"/>
      <x:c r="F687" s="54"/>
      <x:c r="G687" s="63"/>
      <x:c r="H687" s="54"/>
      <x:c r="I687" s="60"/>
      <x:c r="J687" s="54"/>
      <x:c r="K687" s="54"/>
      <x:c r="L687" s="54"/>
      <x:c r="M687" s="63"/>
    </x:row>
    <x:row r="688">
      <x:c r="A688" s="54"/>
      <x:c r="B688" s="60"/>
      <x:c r="C688" s="54"/>
      <x:c r="D688" s="57" t="str">
        <x:f>IF($C688="","",IFERROR(VLOOKUP($C688,'Leads'!$A$6:$C$505,3,FALSE),"Lead ID not found"))</x:f>
      </x:c>
      <x:c r="E688" s="54"/>
      <x:c r="F688" s="54"/>
      <x:c r="G688" s="63"/>
      <x:c r="H688" s="54"/>
      <x:c r="I688" s="60"/>
      <x:c r="J688" s="54"/>
      <x:c r="K688" s="54"/>
      <x:c r="L688" s="54"/>
      <x:c r="M688" s="63"/>
    </x:row>
    <x:row r="689">
      <x:c r="A689" s="54"/>
      <x:c r="B689" s="60"/>
      <x:c r="C689" s="54"/>
      <x:c r="D689" s="57" t="str">
        <x:f>IF($C689="","",IFERROR(VLOOKUP($C689,'Leads'!$A$6:$C$505,3,FALSE),"Lead ID not found"))</x:f>
      </x:c>
      <x:c r="E689" s="54"/>
      <x:c r="F689" s="54"/>
      <x:c r="G689" s="63"/>
      <x:c r="H689" s="54"/>
      <x:c r="I689" s="60"/>
      <x:c r="J689" s="54"/>
      <x:c r="K689" s="54"/>
      <x:c r="L689" s="54"/>
      <x:c r="M689" s="63"/>
    </x:row>
    <x:row r="690">
      <x:c r="A690" s="54"/>
      <x:c r="B690" s="60"/>
      <x:c r="C690" s="54"/>
      <x:c r="D690" s="57" t="str">
        <x:f>IF($C690="","",IFERROR(VLOOKUP($C690,'Leads'!$A$6:$C$505,3,FALSE),"Lead ID not found"))</x:f>
      </x:c>
      <x:c r="E690" s="54"/>
      <x:c r="F690" s="54"/>
      <x:c r="G690" s="63"/>
      <x:c r="H690" s="54"/>
      <x:c r="I690" s="60"/>
      <x:c r="J690" s="54"/>
      <x:c r="K690" s="54"/>
      <x:c r="L690" s="54"/>
      <x:c r="M690" s="63"/>
    </x:row>
    <x:row r="691">
      <x:c r="A691" s="54"/>
      <x:c r="B691" s="60"/>
      <x:c r="C691" s="54"/>
      <x:c r="D691" s="57" t="str">
        <x:f>IF($C691="","",IFERROR(VLOOKUP($C691,'Leads'!$A$6:$C$505,3,FALSE),"Lead ID not found"))</x:f>
      </x:c>
      <x:c r="E691" s="54"/>
      <x:c r="F691" s="54"/>
      <x:c r="G691" s="63"/>
      <x:c r="H691" s="54"/>
      <x:c r="I691" s="60"/>
      <x:c r="J691" s="54"/>
      <x:c r="K691" s="54"/>
      <x:c r="L691" s="54"/>
      <x:c r="M691" s="63"/>
    </x:row>
    <x:row r="692">
      <x:c r="A692" s="54"/>
      <x:c r="B692" s="60"/>
      <x:c r="C692" s="54"/>
      <x:c r="D692" s="57" t="str">
        <x:f>IF($C692="","",IFERROR(VLOOKUP($C692,'Leads'!$A$6:$C$505,3,FALSE),"Lead ID not found"))</x:f>
      </x:c>
      <x:c r="E692" s="54"/>
      <x:c r="F692" s="54"/>
      <x:c r="G692" s="63"/>
      <x:c r="H692" s="54"/>
      <x:c r="I692" s="60"/>
      <x:c r="J692" s="54"/>
      <x:c r="K692" s="54"/>
      <x:c r="L692" s="54"/>
      <x:c r="M692" s="63"/>
    </x:row>
    <x:row r="693">
      <x:c r="A693" s="54"/>
      <x:c r="B693" s="60"/>
      <x:c r="C693" s="54"/>
      <x:c r="D693" s="57" t="str">
        <x:f>IF($C693="","",IFERROR(VLOOKUP($C693,'Leads'!$A$6:$C$505,3,FALSE),"Lead ID not found"))</x:f>
      </x:c>
      <x:c r="E693" s="54"/>
      <x:c r="F693" s="54"/>
      <x:c r="G693" s="63"/>
      <x:c r="H693" s="54"/>
      <x:c r="I693" s="60"/>
      <x:c r="J693" s="54"/>
      <x:c r="K693" s="54"/>
      <x:c r="L693" s="54"/>
      <x:c r="M693" s="63"/>
    </x:row>
    <x:row r="694">
      <x:c r="A694" s="54"/>
      <x:c r="B694" s="60"/>
      <x:c r="C694" s="54"/>
      <x:c r="D694" s="57" t="str">
        <x:f>IF($C694="","",IFERROR(VLOOKUP($C694,'Leads'!$A$6:$C$505,3,FALSE),"Lead ID not found"))</x:f>
      </x:c>
      <x:c r="E694" s="54"/>
      <x:c r="F694" s="54"/>
      <x:c r="G694" s="63"/>
      <x:c r="H694" s="54"/>
      <x:c r="I694" s="60"/>
      <x:c r="J694" s="54"/>
      <x:c r="K694" s="54"/>
      <x:c r="L694" s="54"/>
      <x:c r="M694" s="63"/>
    </x:row>
    <x:row r="695">
      <x:c r="A695" s="54"/>
      <x:c r="B695" s="60"/>
      <x:c r="C695" s="54"/>
      <x:c r="D695" s="57" t="str">
        <x:f>IF($C695="","",IFERROR(VLOOKUP($C695,'Leads'!$A$6:$C$505,3,FALSE),"Lead ID not found"))</x:f>
      </x:c>
      <x:c r="E695" s="54"/>
      <x:c r="F695" s="54"/>
      <x:c r="G695" s="63"/>
      <x:c r="H695" s="54"/>
      <x:c r="I695" s="60"/>
      <x:c r="J695" s="54"/>
      <x:c r="K695" s="54"/>
      <x:c r="L695" s="54"/>
      <x:c r="M695" s="63"/>
    </x:row>
    <x:row r="696">
      <x:c r="A696" s="54"/>
      <x:c r="B696" s="60"/>
      <x:c r="C696" s="54"/>
      <x:c r="D696" s="57" t="str">
        <x:f>IF($C696="","",IFERROR(VLOOKUP($C696,'Leads'!$A$6:$C$505,3,FALSE),"Lead ID not found"))</x:f>
      </x:c>
      <x:c r="E696" s="54"/>
      <x:c r="F696" s="54"/>
      <x:c r="G696" s="63"/>
      <x:c r="H696" s="54"/>
      <x:c r="I696" s="60"/>
      <x:c r="J696" s="54"/>
      <x:c r="K696" s="54"/>
      <x:c r="L696" s="54"/>
      <x:c r="M696" s="63"/>
    </x:row>
    <x:row r="697">
      <x:c r="A697" s="54"/>
      <x:c r="B697" s="60"/>
      <x:c r="C697" s="54"/>
      <x:c r="D697" s="57" t="str">
        <x:f>IF($C697="","",IFERROR(VLOOKUP($C697,'Leads'!$A$6:$C$505,3,FALSE),"Lead ID not found"))</x:f>
      </x:c>
      <x:c r="E697" s="54"/>
      <x:c r="F697" s="54"/>
      <x:c r="G697" s="63"/>
      <x:c r="H697" s="54"/>
      <x:c r="I697" s="60"/>
      <x:c r="J697" s="54"/>
      <x:c r="K697" s="54"/>
      <x:c r="L697" s="54"/>
      <x:c r="M697" s="63"/>
    </x:row>
    <x:row r="698">
      <x:c r="A698" s="54"/>
      <x:c r="B698" s="60"/>
      <x:c r="C698" s="54"/>
      <x:c r="D698" s="57" t="str">
        <x:f>IF($C698="","",IFERROR(VLOOKUP($C698,'Leads'!$A$6:$C$505,3,FALSE),"Lead ID not found"))</x:f>
      </x:c>
      <x:c r="E698" s="54"/>
      <x:c r="F698" s="54"/>
      <x:c r="G698" s="63"/>
      <x:c r="H698" s="54"/>
      <x:c r="I698" s="60"/>
      <x:c r="J698" s="54"/>
      <x:c r="K698" s="54"/>
      <x:c r="L698" s="54"/>
      <x:c r="M698" s="63"/>
    </x:row>
    <x:row r="699">
      <x:c r="A699" s="54"/>
      <x:c r="B699" s="60"/>
      <x:c r="C699" s="54"/>
      <x:c r="D699" s="57" t="str">
        <x:f>IF($C699="","",IFERROR(VLOOKUP($C699,'Leads'!$A$6:$C$505,3,FALSE),"Lead ID not found"))</x:f>
      </x:c>
      <x:c r="E699" s="54"/>
      <x:c r="F699" s="54"/>
      <x:c r="G699" s="63"/>
      <x:c r="H699" s="54"/>
      <x:c r="I699" s="60"/>
      <x:c r="J699" s="54"/>
      <x:c r="K699" s="54"/>
      <x:c r="L699" s="54"/>
      <x:c r="M699" s="63"/>
    </x:row>
    <x:row r="700">
      <x:c r="A700" s="54"/>
      <x:c r="B700" s="60"/>
      <x:c r="C700" s="54"/>
      <x:c r="D700" s="57" t="str">
        <x:f>IF($C700="","",IFERROR(VLOOKUP($C700,'Leads'!$A$6:$C$505,3,FALSE),"Lead ID not found"))</x:f>
      </x:c>
      <x:c r="E700" s="54"/>
      <x:c r="F700" s="54"/>
      <x:c r="G700" s="63"/>
      <x:c r="H700" s="54"/>
      <x:c r="I700" s="60"/>
      <x:c r="J700" s="54"/>
      <x:c r="K700" s="54"/>
      <x:c r="L700" s="54"/>
      <x:c r="M700" s="63"/>
    </x:row>
    <x:row r="701">
      <x:c r="A701" s="54"/>
      <x:c r="B701" s="60"/>
      <x:c r="C701" s="54"/>
      <x:c r="D701" s="57" t="str">
        <x:f>IF($C701="","",IFERROR(VLOOKUP($C701,'Leads'!$A$6:$C$505,3,FALSE),"Lead ID not found"))</x:f>
      </x:c>
      <x:c r="E701" s="54"/>
      <x:c r="F701" s="54"/>
      <x:c r="G701" s="63"/>
      <x:c r="H701" s="54"/>
      <x:c r="I701" s="60"/>
      <x:c r="J701" s="54"/>
      <x:c r="K701" s="54"/>
      <x:c r="L701" s="54"/>
      <x:c r="M701" s="63"/>
    </x:row>
    <x:row r="702">
      <x:c r="A702" s="54"/>
      <x:c r="B702" s="60"/>
      <x:c r="C702" s="54"/>
      <x:c r="D702" s="57" t="str">
        <x:f>IF($C702="","",IFERROR(VLOOKUP($C702,'Leads'!$A$6:$C$505,3,FALSE),"Lead ID not found"))</x:f>
      </x:c>
      <x:c r="E702" s="54"/>
      <x:c r="F702" s="54"/>
      <x:c r="G702" s="63"/>
      <x:c r="H702" s="54"/>
      <x:c r="I702" s="60"/>
      <x:c r="J702" s="54"/>
      <x:c r="K702" s="54"/>
      <x:c r="L702" s="54"/>
      <x:c r="M702" s="63"/>
    </x:row>
    <x:row r="703">
      <x:c r="A703" s="54"/>
      <x:c r="B703" s="60"/>
      <x:c r="C703" s="54"/>
      <x:c r="D703" s="57" t="str">
        <x:f>IF($C703="","",IFERROR(VLOOKUP($C703,'Leads'!$A$6:$C$505,3,FALSE),"Lead ID not found"))</x:f>
      </x:c>
      <x:c r="E703" s="54"/>
      <x:c r="F703" s="54"/>
      <x:c r="G703" s="63"/>
      <x:c r="H703" s="54"/>
      <x:c r="I703" s="60"/>
      <x:c r="J703" s="54"/>
      <x:c r="K703" s="54"/>
      <x:c r="L703" s="54"/>
      <x:c r="M703" s="63"/>
    </x:row>
    <x:row r="704">
      <x:c r="A704" s="54"/>
      <x:c r="B704" s="60"/>
      <x:c r="C704" s="54"/>
      <x:c r="D704" s="57" t="str">
        <x:f>IF($C704="","",IFERROR(VLOOKUP($C704,'Leads'!$A$6:$C$505,3,FALSE),"Lead ID not found"))</x:f>
      </x:c>
      <x:c r="E704" s="54"/>
      <x:c r="F704" s="54"/>
      <x:c r="G704" s="63"/>
      <x:c r="H704" s="54"/>
      <x:c r="I704" s="60"/>
      <x:c r="J704" s="54"/>
      <x:c r="K704" s="54"/>
      <x:c r="L704" s="54"/>
      <x:c r="M704" s="63"/>
    </x:row>
    <x:row r="705">
      <x:c r="A705" s="54"/>
      <x:c r="B705" s="60"/>
      <x:c r="C705" s="54"/>
      <x:c r="D705" s="57" t="str">
        <x:f>IF($C705="","",IFERROR(VLOOKUP($C705,'Leads'!$A$6:$C$505,3,FALSE),"Lead ID not found"))</x:f>
      </x:c>
      <x:c r="E705" s="54"/>
      <x:c r="F705" s="54"/>
      <x:c r="G705" s="63"/>
      <x:c r="H705" s="54"/>
      <x:c r="I705" s="60"/>
      <x:c r="J705" s="54"/>
      <x:c r="K705" s="54"/>
      <x:c r="L705" s="54"/>
      <x:c r="M705" s="63"/>
    </x:row>
    <x:row r="706">
      <x:c r="A706" s="54"/>
      <x:c r="B706" s="60"/>
      <x:c r="C706" s="54"/>
      <x:c r="D706" s="57" t="str">
        <x:f>IF($C706="","",IFERROR(VLOOKUP($C706,'Leads'!$A$6:$C$505,3,FALSE),"Lead ID not found"))</x:f>
      </x:c>
      <x:c r="E706" s="54"/>
      <x:c r="F706" s="54"/>
      <x:c r="G706" s="63"/>
      <x:c r="H706" s="54"/>
      <x:c r="I706" s="60"/>
      <x:c r="J706" s="54"/>
      <x:c r="K706" s="54"/>
      <x:c r="L706" s="54"/>
      <x:c r="M706" s="63"/>
    </x:row>
    <x:row r="707">
      <x:c r="A707" s="54"/>
      <x:c r="B707" s="60"/>
      <x:c r="C707" s="54"/>
      <x:c r="D707" s="57" t="str">
        <x:f>IF($C707="","",IFERROR(VLOOKUP($C707,'Leads'!$A$6:$C$505,3,FALSE),"Lead ID not found"))</x:f>
      </x:c>
      <x:c r="E707" s="54"/>
      <x:c r="F707" s="54"/>
      <x:c r="G707" s="63"/>
      <x:c r="H707" s="54"/>
      <x:c r="I707" s="60"/>
      <x:c r="J707" s="54"/>
      <x:c r="K707" s="54"/>
      <x:c r="L707" s="54"/>
      <x:c r="M707" s="63"/>
    </x:row>
    <x:row r="708">
      <x:c r="A708" s="54"/>
      <x:c r="B708" s="60"/>
      <x:c r="C708" s="54"/>
      <x:c r="D708" s="57" t="str">
        <x:f>IF($C708="","",IFERROR(VLOOKUP($C708,'Leads'!$A$6:$C$505,3,FALSE),"Lead ID not found"))</x:f>
      </x:c>
      <x:c r="E708" s="54"/>
      <x:c r="F708" s="54"/>
      <x:c r="G708" s="63"/>
      <x:c r="H708" s="54"/>
      <x:c r="I708" s="60"/>
      <x:c r="J708" s="54"/>
      <x:c r="K708" s="54"/>
      <x:c r="L708" s="54"/>
      <x:c r="M708" s="63"/>
    </x:row>
    <x:row r="709">
      <x:c r="A709" s="54"/>
      <x:c r="B709" s="60"/>
      <x:c r="C709" s="54"/>
      <x:c r="D709" s="57" t="str">
        <x:f>IF($C709="","",IFERROR(VLOOKUP($C709,'Leads'!$A$6:$C$505,3,FALSE),"Lead ID not found"))</x:f>
      </x:c>
      <x:c r="E709" s="54"/>
      <x:c r="F709" s="54"/>
      <x:c r="G709" s="63"/>
      <x:c r="H709" s="54"/>
      <x:c r="I709" s="60"/>
      <x:c r="J709" s="54"/>
      <x:c r="K709" s="54"/>
      <x:c r="L709" s="54"/>
      <x:c r="M709" s="63"/>
    </x:row>
    <x:row r="710">
      <x:c r="A710" s="54"/>
      <x:c r="B710" s="60"/>
      <x:c r="C710" s="54"/>
      <x:c r="D710" s="57" t="str">
        <x:f>IF($C710="","",IFERROR(VLOOKUP($C710,'Leads'!$A$6:$C$505,3,FALSE),"Lead ID not found"))</x:f>
      </x:c>
      <x:c r="E710" s="54"/>
      <x:c r="F710" s="54"/>
      <x:c r="G710" s="63"/>
      <x:c r="H710" s="54"/>
      <x:c r="I710" s="60"/>
      <x:c r="J710" s="54"/>
      <x:c r="K710" s="54"/>
      <x:c r="L710" s="54"/>
      <x:c r="M710" s="63"/>
    </x:row>
    <x:row r="711">
      <x:c r="A711" s="54"/>
      <x:c r="B711" s="60"/>
      <x:c r="C711" s="54"/>
      <x:c r="D711" s="57" t="str">
        <x:f>IF($C711="","",IFERROR(VLOOKUP($C711,'Leads'!$A$6:$C$505,3,FALSE),"Lead ID not found"))</x:f>
      </x:c>
      <x:c r="E711" s="54"/>
      <x:c r="F711" s="54"/>
      <x:c r="G711" s="63"/>
      <x:c r="H711" s="54"/>
      <x:c r="I711" s="60"/>
      <x:c r="J711" s="54"/>
      <x:c r="K711" s="54"/>
      <x:c r="L711" s="54"/>
      <x:c r="M711" s="63"/>
    </x:row>
    <x:row r="712">
      <x:c r="A712" s="54"/>
      <x:c r="B712" s="60"/>
      <x:c r="C712" s="54"/>
      <x:c r="D712" s="57" t="str">
        <x:f>IF($C712="","",IFERROR(VLOOKUP($C712,'Leads'!$A$6:$C$505,3,FALSE),"Lead ID not found"))</x:f>
      </x:c>
      <x:c r="E712" s="54"/>
      <x:c r="F712" s="54"/>
      <x:c r="G712" s="63"/>
      <x:c r="H712" s="54"/>
      <x:c r="I712" s="60"/>
      <x:c r="J712" s="54"/>
      <x:c r="K712" s="54"/>
      <x:c r="L712" s="54"/>
      <x:c r="M712" s="63"/>
    </x:row>
    <x:row r="713">
      <x:c r="A713" s="54"/>
      <x:c r="B713" s="60"/>
      <x:c r="C713" s="54"/>
      <x:c r="D713" s="57" t="str">
        <x:f>IF($C713="","",IFERROR(VLOOKUP($C713,'Leads'!$A$6:$C$505,3,FALSE),"Lead ID not found"))</x:f>
      </x:c>
      <x:c r="E713" s="54"/>
      <x:c r="F713" s="54"/>
      <x:c r="G713" s="63"/>
      <x:c r="H713" s="54"/>
      <x:c r="I713" s="60"/>
      <x:c r="J713" s="54"/>
      <x:c r="K713" s="54"/>
      <x:c r="L713" s="54"/>
      <x:c r="M713" s="63"/>
    </x:row>
    <x:row r="714">
      <x:c r="A714" s="54"/>
      <x:c r="B714" s="60"/>
      <x:c r="C714" s="54"/>
      <x:c r="D714" s="57" t="str">
        <x:f>IF($C714="","",IFERROR(VLOOKUP($C714,'Leads'!$A$6:$C$505,3,FALSE),"Lead ID not found"))</x:f>
      </x:c>
      <x:c r="E714" s="54"/>
      <x:c r="F714" s="54"/>
      <x:c r="G714" s="63"/>
      <x:c r="H714" s="54"/>
      <x:c r="I714" s="60"/>
      <x:c r="J714" s="54"/>
      <x:c r="K714" s="54"/>
      <x:c r="L714" s="54"/>
      <x:c r="M714" s="63"/>
    </x:row>
    <x:row r="715">
      <x:c r="A715" s="54"/>
      <x:c r="B715" s="60"/>
      <x:c r="C715" s="54"/>
      <x:c r="D715" s="57" t="str">
        <x:f>IF($C715="","",IFERROR(VLOOKUP($C715,'Leads'!$A$6:$C$505,3,FALSE),"Lead ID not found"))</x:f>
      </x:c>
      <x:c r="E715" s="54"/>
      <x:c r="F715" s="54"/>
      <x:c r="G715" s="63"/>
      <x:c r="H715" s="54"/>
      <x:c r="I715" s="60"/>
      <x:c r="J715" s="54"/>
      <x:c r="K715" s="54"/>
      <x:c r="L715" s="54"/>
      <x:c r="M715" s="63"/>
    </x:row>
    <x:row r="716">
      <x:c r="A716" s="54"/>
      <x:c r="B716" s="60"/>
      <x:c r="C716" s="54"/>
      <x:c r="D716" s="57" t="str">
        <x:f>IF($C716="","",IFERROR(VLOOKUP($C716,'Leads'!$A$6:$C$505,3,FALSE),"Lead ID not found"))</x:f>
      </x:c>
      <x:c r="E716" s="54"/>
      <x:c r="F716" s="54"/>
      <x:c r="G716" s="63"/>
      <x:c r="H716" s="54"/>
      <x:c r="I716" s="60"/>
      <x:c r="J716" s="54"/>
      <x:c r="K716" s="54"/>
      <x:c r="L716" s="54"/>
      <x:c r="M716" s="63"/>
    </x:row>
    <x:row r="717">
      <x:c r="A717" s="54"/>
      <x:c r="B717" s="60"/>
      <x:c r="C717" s="54"/>
      <x:c r="D717" s="57" t="str">
        <x:f>IF($C717="","",IFERROR(VLOOKUP($C717,'Leads'!$A$6:$C$505,3,FALSE),"Lead ID not found"))</x:f>
      </x:c>
      <x:c r="E717" s="54"/>
      <x:c r="F717" s="54"/>
      <x:c r="G717" s="63"/>
      <x:c r="H717" s="54"/>
      <x:c r="I717" s="60"/>
      <x:c r="J717" s="54"/>
      <x:c r="K717" s="54"/>
      <x:c r="L717" s="54"/>
      <x:c r="M717" s="63"/>
    </x:row>
    <x:row r="718">
      <x:c r="A718" s="54"/>
      <x:c r="B718" s="60"/>
      <x:c r="C718" s="54"/>
      <x:c r="D718" s="57" t="str">
        <x:f>IF($C718="","",IFERROR(VLOOKUP($C718,'Leads'!$A$6:$C$505,3,FALSE),"Lead ID not found"))</x:f>
      </x:c>
      <x:c r="E718" s="54"/>
      <x:c r="F718" s="54"/>
      <x:c r="G718" s="63"/>
      <x:c r="H718" s="54"/>
      <x:c r="I718" s="60"/>
      <x:c r="J718" s="54"/>
      <x:c r="K718" s="54"/>
      <x:c r="L718" s="54"/>
      <x:c r="M718" s="63"/>
    </x:row>
    <x:row r="719">
      <x:c r="A719" s="54"/>
      <x:c r="B719" s="60"/>
      <x:c r="C719" s="54"/>
      <x:c r="D719" s="57" t="str">
        <x:f>IF($C719="","",IFERROR(VLOOKUP($C719,'Leads'!$A$6:$C$505,3,FALSE),"Lead ID not found"))</x:f>
      </x:c>
      <x:c r="E719" s="54"/>
      <x:c r="F719" s="54"/>
      <x:c r="G719" s="63"/>
      <x:c r="H719" s="54"/>
      <x:c r="I719" s="60"/>
      <x:c r="J719" s="54"/>
      <x:c r="K719" s="54"/>
      <x:c r="L719" s="54"/>
      <x:c r="M719" s="63"/>
    </x:row>
    <x:row r="720">
      <x:c r="A720" s="54"/>
      <x:c r="B720" s="60"/>
      <x:c r="C720" s="54"/>
      <x:c r="D720" s="57" t="str">
        <x:f>IF($C720="","",IFERROR(VLOOKUP($C720,'Leads'!$A$6:$C$505,3,FALSE),"Lead ID not found"))</x:f>
      </x:c>
      <x:c r="E720" s="54"/>
      <x:c r="F720" s="54"/>
      <x:c r="G720" s="63"/>
      <x:c r="H720" s="54"/>
      <x:c r="I720" s="60"/>
      <x:c r="J720" s="54"/>
      <x:c r="K720" s="54"/>
      <x:c r="L720" s="54"/>
      <x:c r="M720" s="63"/>
    </x:row>
    <x:row r="721">
      <x:c r="A721" s="54"/>
      <x:c r="B721" s="60"/>
      <x:c r="C721" s="54"/>
      <x:c r="D721" s="57" t="str">
        <x:f>IF($C721="","",IFERROR(VLOOKUP($C721,'Leads'!$A$6:$C$505,3,FALSE),"Lead ID not found"))</x:f>
      </x:c>
      <x:c r="E721" s="54"/>
      <x:c r="F721" s="54"/>
      <x:c r="G721" s="63"/>
      <x:c r="H721" s="54"/>
      <x:c r="I721" s="60"/>
      <x:c r="J721" s="54"/>
      <x:c r="K721" s="54"/>
      <x:c r="L721" s="54"/>
      <x:c r="M721" s="63"/>
    </x:row>
    <x:row r="722">
      <x:c r="A722" s="54"/>
      <x:c r="B722" s="60"/>
      <x:c r="C722" s="54"/>
      <x:c r="D722" s="57" t="str">
        <x:f>IF($C722="","",IFERROR(VLOOKUP($C722,'Leads'!$A$6:$C$505,3,FALSE),"Lead ID not found"))</x:f>
      </x:c>
      <x:c r="E722" s="54"/>
      <x:c r="F722" s="54"/>
      <x:c r="G722" s="63"/>
      <x:c r="H722" s="54"/>
      <x:c r="I722" s="60"/>
      <x:c r="J722" s="54"/>
      <x:c r="K722" s="54"/>
      <x:c r="L722" s="54"/>
      <x:c r="M722" s="63"/>
    </x:row>
    <x:row r="723">
      <x:c r="A723" s="54"/>
      <x:c r="B723" s="60"/>
      <x:c r="C723" s="54"/>
      <x:c r="D723" s="57" t="str">
        <x:f>IF($C723="","",IFERROR(VLOOKUP($C723,'Leads'!$A$6:$C$505,3,FALSE),"Lead ID not found"))</x:f>
      </x:c>
      <x:c r="E723" s="54"/>
      <x:c r="F723" s="54"/>
      <x:c r="G723" s="63"/>
      <x:c r="H723" s="54"/>
      <x:c r="I723" s="60"/>
      <x:c r="J723" s="54"/>
      <x:c r="K723" s="54"/>
      <x:c r="L723" s="54"/>
      <x:c r="M723" s="63"/>
    </x:row>
    <x:row r="724">
      <x:c r="A724" s="54"/>
      <x:c r="B724" s="60"/>
      <x:c r="C724" s="54"/>
      <x:c r="D724" s="57" t="str">
        <x:f>IF($C724="","",IFERROR(VLOOKUP($C724,'Leads'!$A$6:$C$505,3,FALSE),"Lead ID not found"))</x:f>
      </x:c>
      <x:c r="E724" s="54"/>
      <x:c r="F724" s="54"/>
      <x:c r="G724" s="63"/>
      <x:c r="H724" s="54"/>
      <x:c r="I724" s="60"/>
      <x:c r="J724" s="54"/>
      <x:c r="K724" s="54"/>
      <x:c r="L724" s="54"/>
      <x:c r="M724" s="63"/>
    </x:row>
    <x:row r="725">
      <x:c r="A725" s="54"/>
      <x:c r="B725" s="60"/>
      <x:c r="C725" s="54"/>
      <x:c r="D725" s="57" t="str">
        <x:f>IF($C725="","",IFERROR(VLOOKUP($C725,'Leads'!$A$6:$C$505,3,FALSE),"Lead ID not found"))</x:f>
      </x:c>
      <x:c r="E725" s="54"/>
      <x:c r="F725" s="54"/>
      <x:c r="G725" s="63"/>
      <x:c r="H725" s="54"/>
      <x:c r="I725" s="60"/>
      <x:c r="J725" s="54"/>
      <x:c r="K725" s="54"/>
      <x:c r="L725" s="54"/>
      <x:c r="M725" s="63"/>
    </x:row>
    <x:row r="726">
      <x:c r="A726" s="54"/>
      <x:c r="B726" s="60"/>
      <x:c r="C726" s="54"/>
      <x:c r="D726" s="57" t="str">
        <x:f>IF($C726="","",IFERROR(VLOOKUP($C726,'Leads'!$A$6:$C$505,3,FALSE),"Lead ID not found"))</x:f>
      </x:c>
      <x:c r="E726" s="54"/>
      <x:c r="F726" s="54"/>
      <x:c r="G726" s="63"/>
      <x:c r="H726" s="54"/>
      <x:c r="I726" s="60"/>
      <x:c r="J726" s="54"/>
      <x:c r="K726" s="54"/>
      <x:c r="L726" s="54"/>
      <x:c r="M726" s="63"/>
    </x:row>
    <x:row r="727">
      <x:c r="A727" s="54"/>
      <x:c r="B727" s="60"/>
      <x:c r="C727" s="54"/>
      <x:c r="D727" s="57" t="str">
        <x:f>IF($C727="","",IFERROR(VLOOKUP($C727,'Leads'!$A$6:$C$505,3,FALSE),"Lead ID not found"))</x:f>
      </x:c>
      <x:c r="E727" s="54"/>
      <x:c r="F727" s="54"/>
      <x:c r="G727" s="63"/>
      <x:c r="H727" s="54"/>
      <x:c r="I727" s="60"/>
      <x:c r="J727" s="54"/>
      <x:c r="K727" s="54"/>
      <x:c r="L727" s="54"/>
      <x:c r="M727" s="63"/>
    </x:row>
    <x:row r="728">
      <x:c r="A728" s="54"/>
      <x:c r="B728" s="60"/>
      <x:c r="C728" s="54"/>
      <x:c r="D728" s="57" t="str">
        <x:f>IF($C728="","",IFERROR(VLOOKUP($C728,'Leads'!$A$6:$C$505,3,FALSE),"Lead ID not found"))</x:f>
      </x:c>
      <x:c r="E728" s="54"/>
      <x:c r="F728" s="54"/>
      <x:c r="G728" s="63"/>
      <x:c r="H728" s="54"/>
      <x:c r="I728" s="60"/>
      <x:c r="J728" s="54"/>
      <x:c r="K728" s="54"/>
      <x:c r="L728" s="54"/>
      <x:c r="M728" s="63"/>
    </x:row>
    <x:row r="729">
      <x:c r="A729" s="54"/>
      <x:c r="B729" s="60"/>
      <x:c r="C729" s="54"/>
      <x:c r="D729" s="57" t="str">
        <x:f>IF($C729="","",IFERROR(VLOOKUP($C729,'Leads'!$A$6:$C$505,3,FALSE),"Lead ID not found"))</x:f>
      </x:c>
      <x:c r="E729" s="54"/>
      <x:c r="F729" s="54"/>
      <x:c r="G729" s="63"/>
      <x:c r="H729" s="54"/>
      <x:c r="I729" s="60"/>
      <x:c r="J729" s="54"/>
      <x:c r="K729" s="54"/>
      <x:c r="L729" s="54"/>
      <x:c r="M729" s="63"/>
    </x:row>
    <x:row r="730">
      <x:c r="A730" s="54"/>
      <x:c r="B730" s="60"/>
      <x:c r="C730" s="54"/>
      <x:c r="D730" s="57" t="str">
        <x:f>IF($C730="","",IFERROR(VLOOKUP($C730,'Leads'!$A$6:$C$505,3,FALSE),"Lead ID not found"))</x:f>
      </x:c>
      <x:c r="E730" s="54"/>
      <x:c r="F730" s="54"/>
      <x:c r="G730" s="63"/>
      <x:c r="H730" s="54"/>
      <x:c r="I730" s="60"/>
      <x:c r="J730" s="54"/>
      <x:c r="K730" s="54"/>
      <x:c r="L730" s="54"/>
      <x:c r="M730" s="63"/>
    </x:row>
    <x:row r="731">
      <x:c r="A731" s="54"/>
      <x:c r="B731" s="60"/>
      <x:c r="C731" s="54"/>
      <x:c r="D731" s="57" t="str">
        <x:f>IF($C731="","",IFERROR(VLOOKUP($C731,'Leads'!$A$6:$C$505,3,FALSE),"Lead ID not found"))</x:f>
      </x:c>
      <x:c r="E731" s="54"/>
      <x:c r="F731" s="54"/>
      <x:c r="G731" s="63"/>
      <x:c r="H731" s="54"/>
      <x:c r="I731" s="60"/>
      <x:c r="J731" s="54"/>
      <x:c r="K731" s="54"/>
      <x:c r="L731" s="54"/>
      <x:c r="M731" s="63"/>
    </x:row>
    <x:row r="732">
      <x:c r="A732" s="54"/>
      <x:c r="B732" s="60"/>
      <x:c r="C732" s="54"/>
      <x:c r="D732" s="57" t="str">
        <x:f>IF($C732="","",IFERROR(VLOOKUP($C732,'Leads'!$A$6:$C$505,3,FALSE),"Lead ID not found"))</x:f>
      </x:c>
      <x:c r="E732" s="54"/>
      <x:c r="F732" s="54"/>
      <x:c r="G732" s="63"/>
      <x:c r="H732" s="54"/>
      <x:c r="I732" s="60"/>
      <x:c r="J732" s="54"/>
      <x:c r="K732" s="54"/>
      <x:c r="L732" s="54"/>
      <x:c r="M732" s="63"/>
    </x:row>
    <x:row r="733">
      <x:c r="A733" s="54"/>
      <x:c r="B733" s="60"/>
      <x:c r="C733" s="54"/>
      <x:c r="D733" s="57" t="str">
        <x:f>IF($C733="","",IFERROR(VLOOKUP($C733,'Leads'!$A$6:$C$505,3,FALSE),"Lead ID not found"))</x:f>
      </x:c>
      <x:c r="E733" s="54"/>
      <x:c r="F733" s="54"/>
      <x:c r="G733" s="63"/>
      <x:c r="H733" s="54"/>
      <x:c r="I733" s="60"/>
      <x:c r="J733" s="54"/>
      <x:c r="K733" s="54"/>
      <x:c r="L733" s="54"/>
      <x:c r="M733" s="63"/>
    </x:row>
    <x:row r="734">
      <x:c r="A734" s="54"/>
      <x:c r="B734" s="60"/>
      <x:c r="C734" s="54"/>
      <x:c r="D734" s="57" t="str">
        <x:f>IF($C734="","",IFERROR(VLOOKUP($C734,'Leads'!$A$6:$C$505,3,FALSE),"Lead ID not found"))</x:f>
      </x:c>
      <x:c r="E734" s="54"/>
      <x:c r="F734" s="54"/>
      <x:c r="G734" s="63"/>
      <x:c r="H734" s="54"/>
      <x:c r="I734" s="60"/>
      <x:c r="J734" s="54"/>
      <x:c r="K734" s="54"/>
      <x:c r="L734" s="54"/>
      <x:c r="M734" s="63"/>
    </x:row>
    <x:row r="735">
      <x:c r="A735" s="54"/>
      <x:c r="B735" s="60"/>
      <x:c r="C735" s="54"/>
      <x:c r="D735" s="57" t="str">
        <x:f>IF($C735="","",IFERROR(VLOOKUP($C735,'Leads'!$A$6:$C$505,3,FALSE),"Lead ID not found"))</x:f>
      </x:c>
      <x:c r="E735" s="54"/>
      <x:c r="F735" s="54"/>
      <x:c r="G735" s="63"/>
      <x:c r="H735" s="54"/>
      <x:c r="I735" s="60"/>
      <x:c r="J735" s="54"/>
      <x:c r="K735" s="54"/>
      <x:c r="L735" s="54"/>
      <x:c r="M735" s="63"/>
    </x:row>
    <x:row r="736">
      <x:c r="A736" s="54"/>
      <x:c r="B736" s="60"/>
      <x:c r="C736" s="54"/>
      <x:c r="D736" s="57" t="str">
        <x:f>IF($C736="","",IFERROR(VLOOKUP($C736,'Leads'!$A$6:$C$505,3,FALSE),"Lead ID not found"))</x:f>
      </x:c>
      <x:c r="E736" s="54"/>
      <x:c r="F736" s="54"/>
      <x:c r="G736" s="63"/>
      <x:c r="H736" s="54"/>
      <x:c r="I736" s="60"/>
      <x:c r="J736" s="54"/>
      <x:c r="K736" s="54"/>
      <x:c r="L736" s="54"/>
      <x:c r="M736" s="63"/>
    </x:row>
    <x:row r="737">
      <x:c r="A737" s="54"/>
      <x:c r="B737" s="60"/>
      <x:c r="C737" s="54"/>
      <x:c r="D737" s="57" t="str">
        <x:f>IF($C737="","",IFERROR(VLOOKUP($C737,'Leads'!$A$6:$C$505,3,FALSE),"Lead ID not found"))</x:f>
      </x:c>
      <x:c r="E737" s="54"/>
      <x:c r="F737" s="54"/>
      <x:c r="G737" s="63"/>
      <x:c r="H737" s="54"/>
      <x:c r="I737" s="60"/>
      <x:c r="J737" s="54"/>
      <x:c r="K737" s="54"/>
      <x:c r="L737" s="54"/>
      <x:c r="M737" s="63"/>
    </x:row>
    <x:row r="738">
      <x:c r="A738" s="54"/>
      <x:c r="B738" s="60"/>
      <x:c r="C738" s="54"/>
      <x:c r="D738" s="57" t="str">
        <x:f>IF($C738="","",IFERROR(VLOOKUP($C738,'Leads'!$A$6:$C$505,3,FALSE),"Lead ID not found"))</x:f>
      </x:c>
      <x:c r="E738" s="54"/>
      <x:c r="F738" s="54"/>
      <x:c r="G738" s="63"/>
      <x:c r="H738" s="54"/>
      <x:c r="I738" s="60"/>
      <x:c r="J738" s="54"/>
      <x:c r="K738" s="54"/>
      <x:c r="L738" s="54"/>
      <x:c r="M738" s="63"/>
    </x:row>
    <x:row r="739">
      <x:c r="A739" s="54"/>
      <x:c r="B739" s="60"/>
      <x:c r="C739" s="54"/>
      <x:c r="D739" s="57" t="str">
        <x:f>IF($C739="","",IFERROR(VLOOKUP($C739,'Leads'!$A$6:$C$505,3,FALSE),"Lead ID not found"))</x:f>
      </x:c>
      <x:c r="E739" s="54"/>
      <x:c r="F739" s="54"/>
      <x:c r="G739" s="63"/>
      <x:c r="H739" s="54"/>
      <x:c r="I739" s="60"/>
      <x:c r="J739" s="54"/>
      <x:c r="K739" s="54"/>
      <x:c r="L739" s="54"/>
      <x:c r="M739" s="63"/>
    </x:row>
    <x:row r="740">
      <x:c r="A740" s="54"/>
      <x:c r="B740" s="60"/>
      <x:c r="C740" s="54"/>
      <x:c r="D740" s="57" t="str">
        <x:f>IF($C740="","",IFERROR(VLOOKUP($C740,'Leads'!$A$6:$C$505,3,FALSE),"Lead ID not found"))</x:f>
      </x:c>
      <x:c r="E740" s="54"/>
      <x:c r="F740" s="54"/>
      <x:c r="G740" s="63"/>
      <x:c r="H740" s="54"/>
      <x:c r="I740" s="60"/>
      <x:c r="J740" s="54"/>
      <x:c r="K740" s="54"/>
      <x:c r="L740" s="54"/>
      <x:c r="M740" s="63"/>
    </x:row>
    <x:row r="741">
      <x:c r="A741" s="54"/>
      <x:c r="B741" s="60"/>
      <x:c r="C741" s="54"/>
      <x:c r="D741" s="57" t="str">
        <x:f>IF($C741="","",IFERROR(VLOOKUP($C741,'Leads'!$A$6:$C$505,3,FALSE),"Lead ID not found"))</x:f>
      </x:c>
      <x:c r="E741" s="54"/>
      <x:c r="F741" s="54"/>
      <x:c r="G741" s="63"/>
      <x:c r="H741" s="54"/>
      <x:c r="I741" s="60"/>
      <x:c r="J741" s="54"/>
      <x:c r="K741" s="54"/>
      <x:c r="L741" s="54"/>
      <x:c r="M741" s="63"/>
    </x:row>
    <x:row r="742">
      <x:c r="A742" s="54"/>
      <x:c r="B742" s="60"/>
      <x:c r="C742" s="54"/>
      <x:c r="D742" s="57" t="str">
        <x:f>IF($C742="","",IFERROR(VLOOKUP($C742,'Leads'!$A$6:$C$505,3,FALSE),"Lead ID not found"))</x:f>
      </x:c>
      <x:c r="E742" s="54"/>
      <x:c r="F742" s="54"/>
      <x:c r="G742" s="63"/>
      <x:c r="H742" s="54"/>
      <x:c r="I742" s="60"/>
      <x:c r="J742" s="54"/>
      <x:c r="K742" s="54"/>
      <x:c r="L742" s="54"/>
      <x:c r="M742" s="63"/>
    </x:row>
    <x:row r="743">
      <x:c r="A743" s="54"/>
      <x:c r="B743" s="60"/>
      <x:c r="C743" s="54"/>
      <x:c r="D743" s="57" t="str">
        <x:f>IF($C743="","",IFERROR(VLOOKUP($C743,'Leads'!$A$6:$C$505,3,FALSE),"Lead ID not found"))</x:f>
      </x:c>
      <x:c r="E743" s="54"/>
      <x:c r="F743" s="54"/>
      <x:c r="G743" s="63"/>
      <x:c r="H743" s="54"/>
      <x:c r="I743" s="60"/>
      <x:c r="J743" s="54"/>
      <x:c r="K743" s="54"/>
      <x:c r="L743" s="54"/>
      <x:c r="M743" s="63"/>
    </x:row>
    <x:row r="744">
      <x:c r="A744" s="54"/>
      <x:c r="B744" s="60"/>
      <x:c r="C744" s="54"/>
      <x:c r="D744" s="57" t="str">
        <x:f>IF($C744="","",IFERROR(VLOOKUP($C744,'Leads'!$A$6:$C$505,3,FALSE),"Lead ID not found"))</x:f>
      </x:c>
      <x:c r="E744" s="54"/>
      <x:c r="F744" s="54"/>
      <x:c r="G744" s="63"/>
      <x:c r="H744" s="54"/>
      <x:c r="I744" s="60"/>
      <x:c r="J744" s="54"/>
      <x:c r="K744" s="54"/>
      <x:c r="L744" s="54"/>
      <x:c r="M744" s="63"/>
    </x:row>
    <x:row r="745">
      <x:c r="A745" s="54"/>
      <x:c r="B745" s="60"/>
      <x:c r="C745" s="54"/>
      <x:c r="D745" s="57" t="str">
        <x:f>IF($C745="","",IFERROR(VLOOKUP($C745,'Leads'!$A$6:$C$505,3,FALSE),"Lead ID not found"))</x:f>
      </x:c>
      <x:c r="E745" s="54"/>
      <x:c r="F745" s="54"/>
      <x:c r="G745" s="63"/>
      <x:c r="H745" s="54"/>
      <x:c r="I745" s="60"/>
      <x:c r="J745" s="54"/>
      <x:c r="K745" s="54"/>
      <x:c r="L745" s="54"/>
      <x:c r="M745" s="63"/>
    </x:row>
    <x:row r="746">
      <x:c r="A746" s="54"/>
      <x:c r="B746" s="60"/>
      <x:c r="C746" s="54"/>
      <x:c r="D746" s="57" t="str">
        <x:f>IF($C746="","",IFERROR(VLOOKUP($C746,'Leads'!$A$6:$C$505,3,FALSE),"Lead ID not found"))</x:f>
      </x:c>
      <x:c r="E746" s="54"/>
      <x:c r="F746" s="54"/>
      <x:c r="G746" s="63"/>
      <x:c r="H746" s="54"/>
      <x:c r="I746" s="60"/>
      <x:c r="J746" s="54"/>
      <x:c r="K746" s="54"/>
      <x:c r="L746" s="54"/>
      <x:c r="M746" s="63"/>
    </x:row>
    <x:row r="747">
      <x:c r="A747" s="54"/>
      <x:c r="B747" s="60"/>
      <x:c r="C747" s="54"/>
      <x:c r="D747" s="57" t="str">
        <x:f>IF($C747="","",IFERROR(VLOOKUP($C747,'Leads'!$A$6:$C$505,3,FALSE),"Lead ID not found"))</x:f>
      </x:c>
      <x:c r="E747" s="54"/>
      <x:c r="F747" s="54"/>
      <x:c r="G747" s="63"/>
      <x:c r="H747" s="54"/>
      <x:c r="I747" s="60"/>
      <x:c r="J747" s="54"/>
      <x:c r="K747" s="54"/>
      <x:c r="L747" s="54"/>
      <x:c r="M747" s="63"/>
    </x:row>
    <x:row r="748">
      <x:c r="A748" s="54"/>
      <x:c r="B748" s="60"/>
      <x:c r="C748" s="54"/>
      <x:c r="D748" s="57" t="str">
        <x:f>IF($C748="","",IFERROR(VLOOKUP($C748,'Leads'!$A$6:$C$505,3,FALSE),"Lead ID not found"))</x:f>
      </x:c>
      <x:c r="E748" s="54"/>
      <x:c r="F748" s="54"/>
      <x:c r="G748" s="63"/>
      <x:c r="H748" s="54"/>
      <x:c r="I748" s="60"/>
      <x:c r="J748" s="54"/>
      <x:c r="K748" s="54"/>
      <x:c r="L748" s="54"/>
      <x:c r="M748" s="63"/>
    </x:row>
    <x:row r="749">
      <x:c r="A749" s="54"/>
      <x:c r="B749" s="60"/>
      <x:c r="C749" s="54"/>
      <x:c r="D749" s="57" t="str">
        <x:f>IF($C749="","",IFERROR(VLOOKUP($C749,'Leads'!$A$6:$C$505,3,FALSE),"Lead ID not found"))</x:f>
      </x:c>
      <x:c r="E749" s="54"/>
      <x:c r="F749" s="54"/>
      <x:c r="G749" s="63"/>
      <x:c r="H749" s="54"/>
      <x:c r="I749" s="60"/>
      <x:c r="J749" s="54"/>
      <x:c r="K749" s="54"/>
      <x:c r="L749" s="54"/>
      <x:c r="M749" s="63"/>
    </x:row>
    <x:row r="750">
      <x:c r="A750" s="54"/>
      <x:c r="B750" s="60"/>
      <x:c r="C750" s="54"/>
      <x:c r="D750" s="57" t="str">
        <x:f>IF($C750="","",IFERROR(VLOOKUP($C750,'Leads'!$A$6:$C$505,3,FALSE),"Lead ID not found"))</x:f>
      </x:c>
      <x:c r="E750" s="54"/>
      <x:c r="F750" s="54"/>
      <x:c r="G750" s="63"/>
      <x:c r="H750" s="54"/>
      <x:c r="I750" s="60"/>
      <x:c r="J750" s="54"/>
      <x:c r="K750" s="54"/>
      <x:c r="L750" s="54"/>
      <x:c r="M750" s="63"/>
    </x:row>
    <x:row r="751">
      <x:c r="A751" s="54"/>
      <x:c r="B751" s="60"/>
      <x:c r="C751" s="54"/>
      <x:c r="D751" s="57" t="str">
        <x:f>IF($C751="","",IFERROR(VLOOKUP($C751,'Leads'!$A$6:$C$505,3,FALSE),"Lead ID not found"))</x:f>
      </x:c>
      <x:c r="E751" s="54"/>
      <x:c r="F751" s="54"/>
      <x:c r="G751" s="63"/>
      <x:c r="H751" s="54"/>
      <x:c r="I751" s="60"/>
      <x:c r="J751" s="54"/>
      <x:c r="K751" s="54"/>
      <x:c r="L751" s="54"/>
      <x:c r="M751" s="63"/>
    </x:row>
    <x:row r="752">
      <x:c r="A752" s="54"/>
      <x:c r="B752" s="60"/>
      <x:c r="C752" s="54"/>
      <x:c r="D752" s="57" t="str">
        <x:f>IF($C752="","",IFERROR(VLOOKUP($C752,'Leads'!$A$6:$C$505,3,FALSE),"Lead ID not found"))</x:f>
      </x:c>
      <x:c r="E752" s="54"/>
      <x:c r="F752" s="54"/>
      <x:c r="G752" s="63"/>
      <x:c r="H752" s="54"/>
      <x:c r="I752" s="60"/>
      <x:c r="J752" s="54"/>
      <x:c r="K752" s="54"/>
      <x:c r="L752" s="54"/>
      <x:c r="M752" s="63"/>
    </x:row>
    <x:row r="753">
      <x:c r="A753" s="54"/>
      <x:c r="B753" s="60"/>
      <x:c r="C753" s="54"/>
      <x:c r="D753" s="57" t="str">
        <x:f>IF($C753="","",IFERROR(VLOOKUP($C753,'Leads'!$A$6:$C$505,3,FALSE),"Lead ID not found"))</x:f>
      </x:c>
      <x:c r="E753" s="54"/>
      <x:c r="F753" s="54"/>
      <x:c r="G753" s="63"/>
      <x:c r="H753" s="54"/>
      <x:c r="I753" s="60"/>
      <x:c r="J753" s="54"/>
      <x:c r="K753" s="54"/>
      <x:c r="L753" s="54"/>
      <x:c r="M753" s="63"/>
    </x:row>
    <x:row r="754">
      <x:c r="A754" s="54"/>
      <x:c r="B754" s="60"/>
      <x:c r="C754" s="54"/>
      <x:c r="D754" s="57" t="str">
        <x:f>IF($C754="","",IFERROR(VLOOKUP($C754,'Leads'!$A$6:$C$505,3,FALSE),"Lead ID not found"))</x:f>
      </x:c>
      <x:c r="E754" s="54"/>
      <x:c r="F754" s="54"/>
      <x:c r="G754" s="63"/>
      <x:c r="H754" s="54"/>
      <x:c r="I754" s="60"/>
      <x:c r="J754" s="54"/>
      <x:c r="K754" s="54"/>
      <x:c r="L754" s="54"/>
      <x:c r="M754" s="63"/>
    </x:row>
    <x:row r="755">
      <x:c r="A755" s="54"/>
      <x:c r="B755" s="60"/>
      <x:c r="C755" s="54"/>
      <x:c r="D755" s="57" t="str">
        <x:f>IF($C755="","",IFERROR(VLOOKUP($C755,'Leads'!$A$6:$C$505,3,FALSE),"Lead ID not found"))</x:f>
      </x:c>
      <x:c r="E755" s="54"/>
      <x:c r="F755" s="54"/>
      <x:c r="G755" s="63"/>
      <x:c r="H755" s="54"/>
      <x:c r="I755" s="60"/>
      <x:c r="J755" s="54"/>
      <x:c r="K755" s="54"/>
      <x:c r="L755" s="54"/>
      <x:c r="M755" s="63"/>
    </x:row>
    <x:row r="756">
      <x:c r="A756" s="54"/>
      <x:c r="B756" s="60"/>
      <x:c r="C756" s="54"/>
      <x:c r="D756" s="57" t="str">
        <x:f>IF($C756="","",IFERROR(VLOOKUP($C756,'Leads'!$A$6:$C$505,3,FALSE),"Lead ID not found"))</x:f>
      </x:c>
      <x:c r="E756" s="54"/>
      <x:c r="F756" s="54"/>
      <x:c r="G756" s="63"/>
      <x:c r="H756" s="54"/>
      <x:c r="I756" s="60"/>
      <x:c r="J756" s="54"/>
      <x:c r="K756" s="54"/>
      <x:c r="L756" s="54"/>
      <x:c r="M756" s="63"/>
    </x:row>
    <x:row r="757">
      <x:c r="A757" s="54"/>
      <x:c r="B757" s="60"/>
      <x:c r="C757" s="54"/>
      <x:c r="D757" s="57" t="str">
        <x:f>IF($C757="","",IFERROR(VLOOKUP($C757,'Leads'!$A$6:$C$505,3,FALSE),"Lead ID not found"))</x:f>
      </x:c>
      <x:c r="E757" s="54"/>
      <x:c r="F757" s="54"/>
      <x:c r="G757" s="63"/>
      <x:c r="H757" s="54"/>
      <x:c r="I757" s="60"/>
      <x:c r="J757" s="54"/>
      <x:c r="K757" s="54"/>
      <x:c r="L757" s="54"/>
      <x:c r="M757" s="63"/>
    </x:row>
    <x:row r="758">
      <x:c r="A758" s="54"/>
      <x:c r="B758" s="60"/>
      <x:c r="C758" s="54"/>
      <x:c r="D758" s="57" t="str">
        <x:f>IF($C758="","",IFERROR(VLOOKUP($C758,'Leads'!$A$6:$C$505,3,FALSE),"Lead ID not found"))</x:f>
      </x:c>
      <x:c r="E758" s="54"/>
      <x:c r="F758" s="54"/>
      <x:c r="G758" s="63"/>
      <x:c r="H758" s="54"/>
      <x:c r="I758" s="60"/>
      <x:c r="J758" s="54"/>
      <x:c r="K758" s="54"/>
      <x:c r="L758" s="54"/>
      <x:c r="M758" s="63"/>
    </x:row>
    <x:row r="759">
      <x:c r="A759" s="54"/>
      <x:c r="B759" s="60"/>
      <x:c r="C759" s="54"/>
      <x:c r="D759" s="57" t="str">
        <x:f>IF($C759="","",IFERROR(VLOOKUP($C759,'Leads'!$A$6:$C$505,3,FALSE),"Lead ID not found"))</x:f>
      </x:c>
      <x:c r="E759" s="54"/>
      <x:c r="F759" s="54"/>
      <x:c r="G759" s="63"/>
      <x:c r="H759" s="54"/>
      <x:c r="I759" s="60"/>
      <x:c r="J759" s="54"/>
      <x:c r="K759" s="54"/>
      <x:c r="L759" s="54"/>
      <x:c r="M759" s="63"/>
    </x:row>
    <x:row r="760">
      <x:c r="A760" s="54"/>
      <x:c r="B760" s="60"/>
      <x:c r="C760" s="54"/>
      <x:c r="D760" s="57" t="str">
        <x:f>IF($C760="","",IFERROR(VLOOKUP($C760,'Leads'!$A$6:$C$505,3,FALSE),"Lead ID not found"))</x:f>
      </x:c>
      <x:c r="E760" s="54"/>
      <x:c r="F760" s="54"/>
      <x:c r="G760" s="63"/>
      <x:c r="H760" s="54"/>
      <x:c r="I760" s="60"/>
      <x:c r="J760" s="54"/>
      <x:c r="K760" s="54"/>
      <x:c r="L760" s="54"/>
      <x:c r="M760" s="63"/>
    </x:row>
    <x:row r="761">
      <x:c r="A761" s="54"/>
      <x:c r="B761" s="60"/>
      <x:c r="C761" s="54"/>
      <x:c r="D761" s="57" t="str">
        <x:f>IF($C761="","",IFERROR(VLOOKUP($C761,'Leads'!$A$6:$C$505,3,FALSE),"Lead ID not found"))</x:f>
      </x:c>
      <x:c r="E761" s="54"/>
      <x:c r="F761" s="54"/>
      <x:c r="G761" s="63"/>
      <x:c r="H761" s="54"/>
      <x:c r="I761" s="60"/>
      <x:c r="J761" s="54"/>
      <x:c r="K761" s="54"/>
      <x:c r="L761" s="54"/>
      <x:c r="M761" s="63"/>
    </x:row>
    <x:row r="762">
      <x:c r="A762" s="54"/>
      <x:c r="B762" s="60"/>
      <x:c r="C762" s="54"/>
      <x:c r="D762" s="57" t="str">
        <x:f>IF($C762="","",IFERROR(VLOOKUP($C762,'Leads'!$A$6:$C$505,3,FALSE),"Lead ID not found"))</x:f>
      </x:c>
      <x:c r="E762" s="54"/>
      <x:c r="F762" s="54"/>
      <x:c r="G762" s="63"/>
      <x:c r="H762" s="54"/>
      <x:c r="I762" s="60"/>
      <x:c r="J762" s="54"/>
      <x:c r="K762" s="54"/>
      <x:c r="L762" s="54"/>
      <x:c r="M762" s="63"/>
    </x:row>
    <x:row r="763">
      <x:c r="A763" s="54"/>
      <x:c r="B763" s="60"/>
      <x:c r="C763" s="54"/>
      <x:c r="D763" s="57" t="str">
        <x:f>IF($C763="","",IFERROR(VLOOKUP($C763,'Leads'!$A$6:$C$505,3,FALSE),"Lead ID not found"))</x:f>
      </x:c>
      <x:c r="E763" s="54"/>
      <x:c r="F763" s="54"/>
      <x:c r="G763" s="63"/>
      <x:c r="H763" s="54"/>
      <x:c r="I763" s="60"/>
      <x:c r="J763" s="54"/>
      <x:c r="K763" s="54"/>
      <x:c r="L763" s="54"/>
      <x:c r="M763" s="63"/>
    </x:row>
    <x:row r="764">
      <x:c r="A764" s="54"/>
      <x:c r="B764" s="60"/>
      <x:c r="C764" s="54"/>
      <x:c r="D764" s="57" t="str">
        <x:f>IF($C764="","",IFERROR(VLOOKUP($C764,'Leads'!$A$6:$C$505,3,FALSE),"Lead ID not found"))</x:f>
      </x:c>
      <x:c r="E764" s="54"/>
      <x:c r="F764" s="54"/>
      <x:c r="G764" s="63"/>
      <x:c r="H764" s="54"/>
      <x:c r="I764" s="60"/>
      <x:c r="J764" s="54"/>
      <x:c r="K764" s="54"/>
      <x:c r="L764" s="54"/>
      <x:c r="M764" s="63"/>
    </x:row>
    <x:row r="765">
      <x:c r="A765" s="54"/>
      <x:c r="B765" s="60"/>
      <x:c r="C765" s="54"/>
      <x:c r="D765" s="57" t="str">
        <x:f>IF($C765="","",IFERROR(VLOOKUP($C765,'Leads'!$A$6:$C$505,3,FALSE),"Lead ID not found"))</x:f>
      </x:c>
      <x:c r="E765" s="54"/>
      <x:c r="F765" s="54"/>
      <x:c r="G765" s="63"/>
      <x:c r="H765" s="54"/>
      <x:c r="I765" s="60"/>
      <x:c r="J765" s="54"/>
      <x:c r="K765" s="54"/>
      <x:c r="L765" s="54"/>
      <x:c r="M765" s="63"/>
    </x:row>
    <x:row r="766">
      <x:c r="A766" s="54"/>
      <x:c r="B766" s="60"/>
      <x:c r="C766" s="54"/>
      <x:c r="D766" s="57" t="str">
        <x:f>IF($C766="","",IFERROR(VLOOKUP($C766,'Leads'!$A$6:$C$505,3,FALSE),"Lead ID not found"))</x:f>
      </x:c>
      <x:c r="E766" s="54"/>
      <x:c r="F766" s="54"/>
      <x:c r="G766" s="63"/>
      <x:c r="H766" s="54"/>
      <x:c r="I766" s="60"/>
      <x:c r="J766" s="54"/>
      <x:c r="K766" s="54"/>
      <x:c r="L766" s="54"/>
      <x:c r="M766" s="63"/>
    </x:row>
    <x:row r="767">
      <x:c r="A767" s="54"/>
      <x:c r="B767" s="60"/>
      <x:c r="C767" s="54"/>
      <x:c r="D767" s="57" t="str">
        <x:f>IF($C767="","",IFERROR(VLOOKUP($C767,'Leads'!$A$6:$C$505,3,FALSE),"Lead ID not found"))</x:f>
      </x:c>
      <x:c r="E767" s="54"/>
      <x:c r="F767" s="54"/>
      <x:c r="G767" s="63"/>
      <x:c r="H767" s="54"/>
      <x:c r="I767" s="60"/>
      <x:c r="J767" s="54"/>
      <x:c r="K767" s="54"/>
      <x:c r="L767" s="54"/>
      <x:c r="M767" s="63"/>
    </x:row>
    <x:row r="768">
      <x:c r="A768" s="54"/>
      <x:c r="B768" s="60"/>
      <x:c r="C768" s="54"/>
      <x:c r="D768" s="57" t="str">
        <x:f>IF($C768="","",IFERROR(VLOOKUP($C768,'Leads'!$A$6:$C$505,3,FALSE),"Lead ID not found"))</x:f>
      </x:c>
      <x:c r="E768" s="54"/>
      <x:c r="F768" s="54"/>
      <x:c r="G768" s="63"/>
      <x:c r="H768" s="54"/>
      <x:c r="I768" s="60"/>
      <x:c r="J768" s="54"/>
      <x:c r="K768" s="54"/>
      <x:c r="L768" s="54"/>
      <x:c r="M768" s="63"/>
    </x:row>
    <x:row r="769">
      <x:c r="A769" s="54"/>
      <x:c r="B769" s="60"/>
      <x:c r="C769" s="54"/>
      <x:c r="D769" s="57" t="str">
        <x:f>IF($C769="","",IFERROR(VLOOKUP($C769,'Leads'!$A$6:$C$505,3,FALSE),"Lead ID not found"))</x:f>
      </x:c>
      <x:c r="E769" s="54"/>
      <x:c r="F769" s="54"/>
      <x:c r="G769" s="63"/>
      <x:c r="H769" s="54"/>
      <x:c r="I769" s="60"/>
      <x:c r="J769" s="54"/>
      <x:c r="K769" s="54"/>
      <x:c r="L769" s="54"/>
      <x:c r="M769" s="63"/>
    </x:row>
    <x:row r="770">
      <x:c r="A770" s="54"/>
      <x:c r="B770" s="60"/>
      <x:c r="C770" s="54"/>
      <x:c r="D770" s="57" t="str">
        <x:f>IF($C770="","",IFERROR(VLOOKUP($C770,'Leads'!$A$6:$C$505,3,FALSE),"Lead ID not found"))</x:f>
      </x:c>
      <x:c r="E770" s="54"/>
      <x:c r="F770" s="54"/>
      <x:c r="G770" s="63"/>
      <x:c r="H770" s="54"/>
      <x:c r="I770" s="60"/>
      <x:c r="J770" s="54"/>
      <x:c r="K770" s="54"/>
      <x:c r="L770" s="54"/>
      <x:c r="M770" s="63"/>
    </x:row>
    <x:row r="771">
      <x:c r="A771" s="54"/>
      <x:c r="B771" s="60"/>
      <x:c r="C771" s="54"/>
      <x:c r="D771" s="57" t="str">
        <x:f>IF($C771="","",IFERROR(VLOOKUP($C771,'Leads'!$A$6:$C$505,3,FALSE),"Lead ID not found"))</x:f>
      </x:c>
      <x:c r="E771" s="54"/>
      <x:c r="F771" s="54"/>
      <x:c r="G771" s="63"/>
      <x:c r="H771" s="54"/>
      <x:c r="I771" s="60"/>
      <x:c r="J771" s="54"/>
      <x:c r="K771" s="54"/>
      <x:c r="L771" s="54"/>
      <x:c r="M771" s="63"/>
    </x:row>
    <x:row r="772">
      <x:c r="A772" s="54"/>
      <x:c r="B772" s="60"/>
      <x:c r="C772" s="54"/>
      <x:c r="D772" s="57" t="str">
        <x:f>IF($C772="","",IFERROR(VLOOKUP($C772,'Leads'!$A$6:$C$505,3,FALSE),"Lead ID not found"))</x:f>
      </x:c>
      <x:c r="E772" s="54"/>
      <x:c r="F772" s="54"/>
      <x:c r="G772" s="63"/>
      <x:c r="H772" s="54"/>
      <x:c r="I772" s="60"/>
      <x:c r="J772" s="54"/>
      <x:c r="K772" s="54"/>
      <x:c r="L772" s="54"/>
      <x:c r="M772" s="63"/>
    </x:row>
    <x:row r="773">
      <x:c r="A773" s="54"/>
      <x:c r="B773" s="60"/>
      <x:c r="C773" s="54"/>
      <x:c r="D773" s="57" t="str">
        <x:f>IF($C773="","",IFERROR(VLOOKUP($C773,'Leads'!$A$6:$C$505,3,FALSE),"Lead ID not found"))</x:f>
      </x:c>
      <x:c r="E773" s="54"/>
      <x:c r="F773" s="54"/>
      <x:c r="G773" s="63"/>
      <x:c r="H773" s="54"/>
      <x:c r="I773" s="60"/>
      <x:c r="J773" s="54"/>
      <x:c r="K773" s="54"/>
      <x:c r="L773" s="54"/>
      <x:c r="M773" s="63"/>
    </x:row>
    <x:row r="774">
      <x:c r="A774" s="54"/>
      <x:c r="B774" s="60"/>
      <x:c r="C774" s="54"/>
      <x:c r="D774" s="57" t="str">
        <x:f>IF($C774="","",IFERROR(VLOOKUP($C774,'Leads'!$A$6:$C$505,3,FALSE),"Lead ID not found"))</x:f>
      </x:c>
      <x:c r="E774" s="54"/>
      <x:c r="F774" s="54"/>
      <x:c r="G774" s="63"/>
      <x:c r="H774" s="54"/>
      <x:c r="I774" s="60"/>
      <x:c r="J774" s="54"/>
      <x:c r="K774" s="54"/>
      <x:c r="L774" s="54"/>
      <x:c r="M774" s="63"/>
    </x:row>
    <x:row r="775">
      <x:c r="A775" s="54"/>
      <x:c r="B775" s="60"/>
      <x:c r="C775" s="54"/>
      <x:c r="D775" s="57" t="str">
        <x:f>IF($C775="","",IFERROR(VLOOKUP($C775,'Leads'!$A$6:$C$505,3,FALSE),"Lead ID not found"))</x:f>
      </x:c>
      <x:c r="E775" s="54"/>
      <x:c r="F775" s="54"/>
      <x:c r="G775" s="63"/>
      <x:c r="H775" s="54"/>
      <x:c r="I775" s="60"/>
      <x:c r="J775" s="54"/>
      <x:c r="K775" s="54"/>
      <x:c r="L775" s="54"/>
      <x:c r="M775" s="63"/>
    </x:row>
    <x:row r="776">
      <x:c r="A776" s="54"/>
      <x:c r="B776" s="60"/>
      <x:c r="C776" s="54"/>
      <x:c r="D776" s="57" t="str">
        <x:f>IF($C776="","",IFERROR(VLOOKUP($C776,'Leads'!$A$6:$C$505,3,FALSE),"Lead ID not found"))</x:f>
      </x:c>
      <x:c r="E776" s="54"/>
      <x:c r="F776" s="54"/>
      <x:c r="G776" s="63"/>
      <x:c r="H776" s="54"/>
      <x:c r="I776" s="60"/>
      <x:c r="J776" s="54"/>
      <x:c r="K776" s="54"/>
      <x:c r="L776" s="54"/>
      <x:c r="M776" s="63"/>
    </x:row>
    <x:row r="777">
      <x:c r="A777" s="54"/>
      <x:c r="B777" s="60"/>
      <x:c r="C777" s="54"/>
      <x:c r="D777" s="57" t="str">
        <x:f>IF($C777="","",IFERROR(VLOOKUP($C777,'Leads'!$A$6:$C$505,3,FALSE),"Lead ID not found"))</x:f>
      </x:c>
      <x:c r="E777" s="54"/>
      <x:c r="F777" s="54"/>
      <x:c r="G777" s="63"/>
      <x:c r="H777" s="54"/>
      <x:c r="I777" s="60"/>
      <x:c r="J777" s="54"/>
      <x:c r="K777" s="54"/>
      <x:c r="L777" s="54"/>
      <x:c r="M777" s="63"/>
    </x:row>
    <x:row r="778">
      <x:c r="A778" s="54"/>
      <x:c r="B778" s="60"/>
      <x:c r="C778" s="54"/>
      <x:c r="D778" s="57" t="str">
        <x:f>IF($C778="","",IFERROR(VLOOKUP($C778,'Leads'!$A$6:$C$505,3,FALSE),"Lead ID not found"))</x:f>
      </x:c>
      <x:c r="E778" s="54"/>
      <x:c r="F778" s="54"/>
      <x:c r="G778" s="63"/>
      <x:c r="H778" s="54"/>
      <x:c r="I778" s="60"/>
      <x:c r="J778" s="54"/>
      <x:c r="K778" s="54"/>
      <x:c r="L778" s="54"/>
      <x:c r="M778" s="63"/>
    </x:row>
    <x:row r="779">
      <x:c r="A779" s="54"/>
      <x:c r="B779" s="60"/>
      <x:c r="C779" s="54"/>
      <x:c r="D779" s="57" t="str">
        <x:f>IF($C779="","",IFERROR(VLOOKUP($C779,'Leads'!$A$6:$C$505,3,FALSE),"Lead ID not found"))</x:f>
      </x:c>
      <x:c r="E779" s="54"/>
      <x:c r="F779" s="54"/>
      <x:c r="G779" s="63"/>
      <x:c r="H779" s="54"/>
      <x:c r="I779" s="60"/>
      <x:c r="J779" s="54"/>
      <x:c r="K779" s="54"/>
      <x:c r="L779" s="54"/>
      <x:c r="M779" s="63"/>
    </x:row>
    <x:row r="780">
      <x:c r="A780" s="54"/>
      <x:c r="B780" s="60"/>
      <x:c r="C780" s="54"/>
      <x:c r="D780" s="57" t="str">
        <x:f>IF($C780="","",IFERROR(VLOOKUP($C780,'Leads'!$A$6:$C$505,3,FALSE),"Lead ID not found"))</x:f>
      </x:c>
      <x:c r="E780" s="54"/>
      <x:c r="F780" s="54"/>
      <x:c r="G780" s="63"/>
      <x:c r="H780" s="54"/>
      <x:c r="I780" s="60"/>
      <x:c r="J780" s="54"/>
      <x:c r="K780" s="54"/>
      <x:c r="L780" s="54"/>
      <x:c r="M780" s="63"/>
    </x:row>
    <x:row r="781">
      <x:c r="A781" s="54"/>
      <x:c r="B781" s="60"/>
      <x:c r="C781" s="54"/>
      <x:c r="D781" s="57" t="str">
        <x:f>IF($C781="","",IFERROR(VLOOKUP($C781,'Leads'!$A$6:$C$505,3,FALSE),"Lead ID not found"))</x:f>
      </x:c>
      <x:c r="E781" s="54"/>
      <x:c r="F781" s="54"/>
      <x:c r="G781" s="63"/>
      <x:c r="H781" s="54"/>
      <x:c r="I781" s="60"/>
      <x:c r="J781" s="54"/>
      <x:c r="K781" s="54"/>
      <x:c r="L781" s="54"/>
      <x:c r="M781" s="63"/>
    </x:row>
    <x:row r="782">
      <x:c r="A782" s="54"/>
      <x:c r="B782" s="60"/>
      <x:c r="C782" s="54"/>
      <x:c r="D782" s="57" t="str">
        <x:f>IF($C782="","",IFERROR(VLOOKUP($C782,'Leads'!$A$6:$C$505,3,FALSE),"Lead ID not found"))</x:f>
      </x:c>
      <x:c r="E782" s="54"/>
      <x:c r="F782" s="54"/>
      <x:c r="G782" s="63"/>
      <x:c r="H782" s="54"/>
      <x:c r="I782" s="60"/>
      <x:c r="J782" s="54"/>
      <x:c r="K782" s="54"/>
      <x:c r="L782" s="54"/>
      <x:c r="M782" s="63"/>
    </x:row>
    <x:row r="783">
      <x:c r="A783" s="54"/>
      <x:c r="B783" s="60"/>
      <x:c r="C783" s="54"/>
      <x:c r="D783" s="57" t="str">
        <x:f>IF($C783="","",IFERROR(VLOOKUP($C783,'Leads'!$A$6:$C$505,3,FALSE),"Lead ID not found"))</x:f>
      </x:c>
      <x:c r="E783" s="54"/>
      <x:c r="F783" s="54"/>
      <x:c r="G783" s="63"/>
      <x:c r="H783" s="54"/>
      <x:c r="I783" s="60"/>
      <x:c r="J783" s="54"/>
      <x:c r="K783" s="54"/>
      <x:c r="L783" s="54"/>
      <x:c r="M783" s="63"/>
    </x:row>
    <x:row r="784">
      <x:c r="A784" s="54"/>
      <x:c r="B784" s="60"/>
      <x:c r="C784" s="54"/>
      <x:c r="D784" s="57" t="str">
        <x:f>IF($C784="","",IFERROR(VLOOKUP($C784,'Leads'!$A$6:$C$505,3,FALSE),"Lead ID not found"))</x:f>
      </x:c>
      <x:c r="E784" s="54"/>
      <x:c r="F784" s="54"/>
      <x:c r="G784" s="63"/>
      <x:c r="H784" s="54"/>
      <x:c r="I784" s="60"/>
      <x:c r="J784" s="54"/>
      <x:c r="K784" s="54"/>
      <x:c r="L784" s="54"/>
      <x:c r="M784" s="63"/>
    </x:row>
    <x:row r="785">
      <x:c r="A785" s="54"/>
      <x:c r="B785" s="60"/>
      <x:c r="C785" s="54"/>
      <x:c r="D785" s="57" t="str">
        <x:f>IF($C785="","",IFERROR(VLOOKUP($C785,'Leads'!$A$6:$C$505,3,FALSE),"Lead ID not found"))</x:f>
      </x:c>
      <x:c r="E785" s="54"/>
      <x:c r="F785" s="54"/>
      <x:c r="G785" s="63"/>
      <x:c r="H785" s="54"/>
      <x:c r="I785" s="60"/>
      <x:c r="J785" s="54"/>
      <x:c r="K785" s="54"/>
      <x:c r="L785" s="54"/>
      <x:c r="M785" s="63"/>
    </x:row>
    <x:row r="786">
      <x:c r="A786" s="54"/>
      <x:c r="B786" s="60"/>
      <x:c r="C786" s="54"/>
      <x:c r="D786" s="57" t="str">
        <x:f>IF($C786="","",IFERROR(VLOOKUP($C786,'Leads'!$A$6:$C$505,3,FALSE),"Lead ID not found"))</x:f>
      </x:c>
      <x:c r="E786" s="54"/>
      <x:c r="F786" s="54"/>
      <x:c r="G786" s="63"/>
      <x:c r="H786" s="54"/>
      <x:c r="I786" s="60"/>
      <x:c r="J786" s="54"/>
      <x:c r="K786" s="54"/>
      <x:c r="L786" s="54"/>
      <x:c r="M786" s="63"/>
    </x:row>
    <x:row r="787">
      <x:c r="A787" s="54"/>
      <x:c r="B787" s="60"/>
      <x:c r="C787" s="54"/>
      <x:c r="D787" s="57" t="str">
        <x:f>IF($C787="","",IFERROR(VLOOKUP($C787,'Leads'!$A$6:$C$505,3,FALSE),"Lead ID not found"))</x:f>
      </x:c>
      <x:c r="E787" s="54"/>
      <x:c r="F787" s="54"/>
      <x:c r="G787" s="63"/>
      <x:c r="H787" s="54"/>
      <x:c r="I787" s="60"/>
      <x:c r="J787" s="54"/>
      <x:c r="K787" s="54"/>
      <x:c r="L787" s="54"/>
      <x:c r="M787" s="63"/>
    </x:row>
    <x:row r="788">
      <x:c r="A788" s="54"/>
      <x:c r="B788" s="60"/>
      <x:c r="C788" s="54"/>
      <x:c r="D788" s="57" t="str">
        <x:f>IF($C788="","",IFERROR(VLOOKUP($C788,'Leads'!$A$6:$C$505,3,FALSE),"Lead ID not found"))</x:f>
      </x:c>
      <x:c r="E788" s="54"/>
      <x:c r="F788" s="54"/>
      <x:c r="G788" s="63"/>
      <x:c r="H788" s="54"/>
      <x:c r="I788" s="60"/>
      <x:c r="J788" s="54"/>
      <x:c r="K788" s="54"/>
      <x:c r="L788" s="54"/>
      <x:c r="M788" s="63"/>
    </x:row>
    <x:row r="789">
      <x:c r="A789" s="54"/>
      <x:c r="B789" s="60"/>
      <x:c r="C789" s="54"/>
      <x:c r="D789" s="57" t="str">
        <x:f>IF($C789="","",IFERROR(VLOOKUP($C789,'Leads'!$A$6:$C$505,3,FALSE),"Lead ID not found"))</x:f>
      </x:c>
      <x:c r="E789" s="54"/>
      <x:c r="F789" s="54"/>
      <x:c r="G789" s="63"/>
      <x:c r="H789" s="54"/>
      <x:c r="I789" s="60"/>
      <x:c r="J789" s="54"/>
      <x:c r="K789" s="54"/>
      <x:c r="L789" s="54"/>
      <x:c r="M789" s="63"/>
    </x:row>
    <x:row r="790">
      <x:c r="A790" s="54"/>
      <x:c r="B790" s="60"/>
      <x:c r="C790" s="54"/>
      <x:c r="D790" s="57" t="str">
        <x:f>IF($C790="","",IFERROR(VLOOKUP($C790,'Leads'!$A$6:$C$505,3,FALSE),"Lead ID not found"))</x:f>
      </x:c>
      <x:c r="E790" s="54"/>
      <x:c r="F790" s="54"/>
      <x:c r="G790" s="63"/>
      <x:c r="H790" s="54"/>
      <x:c r="I790" s="60"/>
      <x:c r="J790" s="54"/>
      <x:c r="K790" s="54"/>
      <x:c r="L790" s="54"/>
      <x:c r="M790" s="63"/>
    </x:row>
    <x:row r="791">
      <x:c r="A791" s="54"/>
      <x:c r="B791" s="60"/>
      <x:c r="C791" s="54"/>
      <x:c r="D791" s="57" t="str">
        <x:f>IF($C791="","",IFERROR(VLOOKUP($C791,'Leads'!$A$6:$C$505,3,FALSE),"Lead ID not found"))</x:f>
      </x:c>
      <x:c r="E791" s="54"/>
      <x:c r="F791" s="54"/>
      <x:c r="G791" s="63"/>
      <x:c r="H791" s="54"/>
      <x:c r="I791" s="60"/>
      <x:c r="J791" s="54"/>
      <x:c r="K791" s="54"/>
      <x:c r="L791" s="54"/>
      <x:c r="M791" s="63"/>
    </x:row>
    <x:row r="792">
      <x:c r="A792" s="54"/>
      <x:c r="B792" s="60"/>
      <x:c r="C792" s="54"/>
      <x:c r="D792" s="57" t="str">
        <x:f>IF($C792="","",IFERROR(VLOOKUP($C792,'Leads'!$A$6:$C$505,3,FALSE),"Lead ID not found"))</x:f>
      </x:c>
      <x:c r="E792" s="54"/>
      <x:c r="F792" s="54"/>
      <x:c r="G792" s="63"/>
      <x:c r="H792" s="54"/>
      <x:c r="I792" s="60"/>
      <x:c r="J792" s="54"/>
      <x:c r="K792" s="54"/>
      <x:c r="L792" s="54"/>
      <x:c r="M792" s="63"/>
    </x:row>
    <x:row r="793">
      <x:c r="A793" s="54"/>
      <x:c r="B793" s="60"/>
      <x:c r="C793" s="54"/>
      <x:c r="D793" s="57" t="str">
        <x:f>IF($C793="","",IFERROR(VLOOKUP($C793,'Leads'!$A$6:$C$505,3,FALSE),"Lead ID not found"))</x:f>
      </x:c>
      <x:c r="E793" s="54"/>
      <x:c r="F793" s="54"/>
      <x:c r="G793" s="63"/>
      <x:c r="H793" s="54"/>
      <x:c r="I793" s="60"/>
      <x:c r="J793" s="54"/>
      <x:c r="K793" s="54"/>
      <x:c r="L793" s="54"/>
      <x:c r="M793" s="63"/>
    </x:row>
    <x:row r="794">
      <x:c r="A794" s="54"/>
      <x:c r="B794" s="60"/>
      <x:c r="C794" s="54"/>
      <x:c r="D794" s="57" t="str">
        <x:f>IF($C794="","",IFERROR(VLOOKUP($C794,'Leads'!$A$6:$C$505,3,FALSE),"Lead ID not found"))</x:f>
      </x:c>
      <x:c r="E794" s="54"/>
      <x:c r="F794" s="54"/>
      <x:c r="G794" s="63"/>
      <x:c r="H794" s="54"/>
      <x:c r="I794" s="60"/>
      <x:c r="J794" s="54"/>
      <x:c r="K794" s="54"/>
      <x:c r="L794" s="54"/>
      <x:c r="M794" s="63"/>
    </x:row>
    <x:row r="795">
      <x:c r="A795" s="54"/>
      <x:c r="B795" s="60"/>
      <x:c r="C795" s="54"/>
      <x:c r="D795" s="57" t="str">
        <x:f>IF($C795="","",IFERROR(VLOOKUP($C795,'Leads'!$A$6:$C$505,3,FALSE),"Lead ID not found"))</x:f>
      </x:c>
      <x:c r="E795" s="54"/>
      <x:c r="F795" s="54"/>
      <x:c r="G795" s="63"/>
      <x:c r="H795" s="54"/>
      <x:c r="I795" s="60"/>
      <x:c r="J795" s="54"/>
      <x:c r="K795" s="54"/>
      <x:c r="L795" s="54"/>
      <x:c r="M795" s="63"/>
    </x:row>
    <x:row r="796">
      <x:c r="A796" s="54"/>
      <x:c r="B796" s="60"/>
      <x:c r="C796" s="54"/>
      <x:c r="D796" s="57" t="str">
        <x:f>IF($C796="","",IFERROR(VLOOKUP($C796,'Leads'!$A$6:$C$505,3,FALSE),"Lead ID not found"))</x:f>
      </x:c>
      <x:c r="E796" s="54"/>
      <x:c r="F796" s="54"/>
      <x:c r="G796" s="63"/>
      <x:c r="H796" s="54"/>
      <x:c r="I796" s="60"/>
      <x:c r="J796" s="54"/>
      <x:c r="K796" s="54"/>
      <x:c r="L796" s="54"/>
      <x:c r="M796" s="63"/>
    </x:row>
    <x:row r="797">
      <x:c r="A797" s="54"/>
      <x:c r="B797" s="60"/>
      <x:c r="C797" s="54"/>
      <x:c r="D797" s="57" t="str">
        <x:f>IF($C797="","",IFERROR(VLOOKUP($C797,'Leads'!$A$6:$C$505,3,FALSE),"Lead ID not found"))</x:f>
      </x:c>
      <x:c r="E797" s="54"/>
      <x:c r="F797" s="54"/>
      <x:c r="G797" s="63"/>
      <x:c r="H797" s="54"/>
      <x:c r="I797" s="60"/>
      <x:c r="J797" s="54"/>
      <x:c r="K797" s="54"/>
      <x:c r="L797" s="54"/>
      <x:c r="M797" s="63"/>
    </x:row>
    <x:row r="798">
      <x:c r="A798" s="54"/>
      <x:c r="B798" s="60"/>
      <x:c r="C798" s="54"/>
      <x:c r="D798" s="57" t="str">
        <x:f>IF($C798="","",IFERROR(VLOOKUP($C798,'Leads'!$A$6:$C$505,3,FALSE),"Lead ID not found"))</x:f>
      </x:c>
      <x:c r="E798" s="54"/>
      <x:c r="F798" s="54"/>
      <x:c r="G798" s="63"/>
      <x:c r="H798" s="54"/>
      <x:c r="I798" s="60"/>
      <x:c r="J798" s="54"/>
      <x:c r="K798" s="54"/>
      <x:c r="L798" s="54"/>
      <x:c r="M798" s="63"/>
    </x:row>
    <x:row r="799">
      <x:c r="A799" s="54"/>
      <x:c r="B799" s="60"/>
      <x:c r="C799" s="54"/>
      <x:c r="D799" s="57" t="str">
        <x:f>IF($C799="","",IFERROR(VLOOKUP($C799,'Leads'!$A$6:$C$505,3,FALSE),"Lead ID not found"))</x:f>
      </x:c>
      <x:c r="E799" s="54"/>
      <x:c r="F799" s="54"/>
      <x:c r="G799" s="63"/>
      <x:c r="H799" s="54"/>
      <x:c r="I799" s="60"/>
      <x:c r="J799" s="54"/>
      <x:c r="K799" s="54"/>
      <x:c r="L799" s="54"/>
      <x:c r="M799" s="63"/>
    </x:row>
    <x:row r="800">
      <x:c r="A800" s="54"/>
      <x:c r="B800" s="60"/>
      <x:c r="C800" s="54"/>
      <x:c r="D800" s="57" t="str">
        <x:f>IF($C800="","",IFERROR(VLOOKUP($C800,'Leads'!$A$6:$C$505,3,FALSE),"Lead ID not found"))</x:f>
      </x:c>
      <x:c r="E800" s="54"/>
      <x:c r="F800" s="54"/>
      <x:c r="G800" s="63"/>
      <x:c r="H800" s="54"/>
      <x:c r="I800" s="60"/>
      <x:c r="J800" s="54"/>
      <x:c r="K800" s="54"/>
      <x:c r="L800" s="54"/>
      <x:c r="M800" s="63"/>
    </x:row>
    <x:row r="801">
      <x:c r="A801" s="54"/>
      <x:c r="B801" s="60"/>
      <x:c r="C801" s="54"/>
      <x:c r="D801" s="57" t="str">
        <x:f>IF($C801="","",IFERROR(VLOOKUP($C801,'Leads'!$A$6:$C$505,3,FALSE),"Lead ID not found"))</x:f>
      </x:c>
      <x:c r="E801" s="54"/>
      <x:c r="F801" s="54"/>
      <x:c r="G801" s="63"/>
      <x:c r="H801" s="54"/>
      <x:c r="I801" s="60"/>
      <x:c r="J801" s="54"/>
      <x:c r="K801" s="54"/>
      <x:c r="L801" s="54"/>
      <x:c r="M801" s="63"/>
    </x:row>
    <x:row r="802">
      <x:c r="A802" s="54"/>
      <x:c r="B802" s="60"/>
      <x:c r="C802" s="54"/>
      <x:c r="D802" s="57" t="str">
        <x:f>IF($C802="","",IFERROR(VLOOKUP($C802,'Leads'!$A$6:$C$505,3,FALSE),"Lead ID not found"))</x:f>
      </x:c>
      <x:c r="E802" s="54"/>
      <x:c r="F802" s="54"/>
      <x:c r="G802" s="63"/>
      <x:c r="H802" s="54"/>
      <x:c r="I802" s="60"/>
      <x:c r="J802" s="54"/>
      <x:c r="K802" s="54"/>
      <x:c r="L802" s="54"/>
      <x:c r="M802" s="63"/>
    </x:row>
    <x:row r="803">
      <x:c r="A803" s="54"/>
      <x:c r="B803" s="60"/>
      <x:c r="C803" s="54"/>
      <x:c r="D803" s="57" t="str">
        <x:f>IF($C803="","",IFERROR(VLOOKUP($C803,'Leads'!$A$6:$C$505,3,FALSE),"Lead ID not found"))</x:f>
      </x:c>
      <x:c r="E803" s="54"/>
      <x:c r="F803" s="54"/>
      <x:c r="G803" s="63"/>
      <x:c r="H803" s="54"/>
      <x:c r="I803" s="60"/>
      <x:c r="J803" s="54"/>
      <x:c r="K803" s="54"/>
      <x:c r="L803" s="54"/>
      <x:c r="M803" s="63"/>
    </x:row>
    <x:row r="804">
      <x:c r="A804" s="54"/>
      <x:c r="B804" s="60"/>
      <x:c r="C804" s="54"/>
      <x:c r="D804" s="57" t="str">
        <x:f>IF($C804="","",IFERROR(VLOOKUP($C804,'Leads'!$A$6:$C$505,3,FALSE),"Lead ID not found"))</x:f>
      </x:c>
      <x:c r="E804" s="54"/>
      <x:c r="F804" s="54"/>
      <x:c r="G804" s="63"/>
      <x:c r="H804" s="54"/>
      <x:c r="I804" s="60"/>
      <x:c r="J804" s="54"/>
      <x:c r="K804" s="54"/>
      <x:c r="L804" s="54"/>
      <x:c r="M804" s="63"/>
    </x:row>
    <x:row r="805">
      <x:c r="A805" s="54"/>
      <x:c r="B805" s="60"/>
      <x:c r="C805" s="54"/>
      <x:c r="D805" s="57" t="str">
        <x:f>IF($C805="","",IFERROR(VLOOKUP($C805,'Leads'!$A$6:$C$505,3,FALSE),"Lead ID not found"))</x:f>
      </x:c>
      <x:c r="E805" s="54"/>
      <x:c r="F805" s="54"/>
      <x:c r="G805" s="63"/>
      <x:c r="H805" s="54"/>
      <x:c r="I805" s="60"/>
      <x:c r="J805" s="54"/>
      <x:c r="K805" s="54"/>
      <x:c r="L805" s="54"/>
      <x:c r="M805" s="63"/>
    </x:row>
    <x:row r="806">
      <x:c r="A806" s="54"/>
      <x:c r="B806" s="60"/>
      <x:c r="C806" s="54"/>
      <x:c r="D806" s="57" t="str">
        <x:f>IF($C806="","",IFERROR(VLOOKUP($C806,'Leads'!$A$6:$C$505,3,FALSE),"Lead ID not found"))</x:f>
      </x:c>
      <x:c r="E806" s="54"/>
      <x:c r="F806" s="54"/>
      <x:c r="G806" s="63"/>
      <x:c r="H806" s="54"/>
      <x:c r="I806" s="60"/>
      <x:c r="J806" s="54"/>
      <x:c r="K806" s="54"/>
      <x:c r="L806" s="54"/>
      <x:c r="M806" s="63"/>
    </x:row>
    <x:row r="807">
      <x:c r="A807" s="54"/>
      <x:c r="B807" s="60"/>
      <x:c r="C807" s="54"/>
      <x:c r="D807" s="57" t="str">
        <x:f>IF($C807="","",IFERROR(VLOOKUP($C807,'Leads'!$A$6:$C$505,3,FALSE),"Lead ID not found"))</x:f>
      </x:c>
      <x:c r="E807" s="54"/>
      <x:c r="F807" s="54"/>
      <x:c r="G807" s="63"/>
      <x:c r="H807" s="54"/>
      <x:c r="I807" s="60"/>
      <x:c r="J807" s="54"/>
      <x:c r="K807" s="54"/>
      <x:c r="L807" s="54"/>
      <x:c r="M807" s="63"/>
    </x:row>
    <x:row r="808">
      <x:c r="A808" s="54"/>
      <x:c r="B808" s="60"/>
      <x:c r="C808" s="54"/>
      <x:c r="D808" s="57" t="str">
        <x:f>IF($C808="","",IFERROR(VLOOKUP($C808,'Leads'!$A$6:$C$505,3,FALSE),"Lead ID not found"))</x:f>
      </x:c>
      <x:c r="E808" s="54"/>
      <x:c r="F808" s="54"/>
      <x:c r="G808" s="63"/>
      <x:c r="H808" s="54"/>
      <x:c r="I808" s="60"/>
      <x:c r="J808" s="54"/>
      <x:c r="K808" s="54"/>
      <x:c r="L808" s="54"/>
      <x:c r="M808" s="63"/>
    </x:row>
    <x:row r="809">
      <x:c r="A809" s="54"/>
      <x:c r="B809" s="60"/>
      <x:c r="C809" s="54"/>
      <x:c r="D809" s="57" t="str">
        <x:f>IF($C809="","",IFERROR(VLOOKUP($C809,'Leads'!$A$6:$C$505,3,FALSE),"Lead ID not found"))</x:f>
      </x:c>
      <x:c r="E809" s="54"/>
      <x:c r="F809" s="54"/>
      <x:c r="G809" s="63"/>
      <x:c r="H809" s="54"/>
      <x:c r="I809" s="60"/>
      <x:c r="J809" s="54"/>
      <x:c r="K809" s="54"/>
      <x:c r="L809" s="54"/>
      <x:c r="M809" s="63"/>
    </x:row>
    <x:row r="810">
      <x:c r="A810" s="54"/>
      <x:c r="B810" s="60"/>
      <x:c r="C810" s="54"/>
      <x:c r="D810" s="57" t="str">
        <x:f>IF($C810="","",IFERROR(VLOOKUP($C810,'Leads'!$A$6:$C$505,3,FALSE),"Lead ID not found"))</x:f>
      </x:c>
      <x:c r="E810" s="54"/>
      <x:c r="F810" s="54"/>
      <x:c r="G810" s="63"/>
      <x:c r="H810" s="54"/>
      <x:c r="I810" s="60"/>
      <x:c r="J810" s="54"/>
      <x:c r="K810" s="54"/>
      <x:c r="L810" s="54"/>
      <x:c r="M810" s="63"/>
    </x:row>
    <x:row r="811">
      <x:c r="A811" s="54"/>
      <x:c r="B811" s="60"/>
      <x:c r="C811" s="54"/>
      <x:c r="D811" s="57" t="str">
        <x:f>IF($C811="","",IFERROR(VLOOKUP($C811,'Leads'!$A$6:$C$505,3,FALSE),"Lead ID not found"))</x:f>
      </x:c>
      <x:c r="E811" s="54"/>
      <x:c r="F811" s="54"/>
      <x:c r="G811" s="63"/>
      <x:c r="H811" s="54"/>
      <x:c r="I811" s="60"/>
      <x:c r="J811" s="54"/>
      <x:c r="K811" s="54"/>
      <x:c r="L811" s="54"/>
      <x:c r="M811" s="63"/>
    </x:row>
    <x:row r="812">
      <x:c r="A812" s="54"/>
      <x:c r="B812" s="60"/>
      <x:c r="C812" s="54"/>
      <x:c r="D812" s="57" t="str">
        <x:f>IF($C812="","",IFERROR(VLOOKUP($C812,'Leads'!$A$6:$C$505,3,FALSE),"Lead ID not found"))</x:f>
      </x:c>
      <x:c r="E812" s="54"/>
      <x:c r="F812" s="54"/>
      <x:c r="G812" s="63"/>
      <x:c r="H812" s="54"/>
      <x:c r="I812" s="60"/>
      <x:c r="J812" s="54"/>
      <x:c r="K812" s="54"/>
      <x:c r="L812" s="54"/>
      <x:c r="M812" s="63"/>
    </x:row>
    <x:row r="813">
      <x:c r="A813" s="54"/>
      <x:c r="B813" s="60"/>
      <x:c r="C813" s="54"/>
      <x:c r="D813" s="57" t="str">
        <x:f>IF($C813="","",IFERROR(VLOOKUP($C813,'Leads'!$A$6:$C$505,3,FALSE),"Lead ID not found"))</x:f>
      </x:c>
      <x:c r="E813" s="54"/>
      <x:c r="F813" s="54"/>
      <x:c r="G813" s="63"/>
      <x:c r="H813" s="54"/>
      <x:c r="I813" s="60"/>
      <x:c r="J813" s="54"/>
      <x:c r="K813" s="54"/>
      <x:c r="L813" s="54"/>
      <x:c r="M813" s="63"/>
    </x:row>
    <x:row r="814">
      <x:c r="A814" s="54"/>
      <x:c r="B814" s="60"/>
      <x:c r="C814" s="54"/>
      <x:c r="D814" s="57" t="str">
        <x:f>IF($C814="","",IFERROR(VLOOKUP($C814,'Leads'!$A$6:$C$505,3,FALSE),"Lead ID not found"))</x:f>
      </x:c>
      <x:c r="E814" s="54"/>
      <x:c r="F814" s="54"/>
      <x:c r="G814" s="63"/>
      <x:c r="H814" s="54"/>
      <x:c r="I814" s="60"/>
      <x:c r="J814" s="54"/>
      <x:c r="K814" s="54"/>
      <x:c r="L814" s="54"/>
      <x:c r="M814" s="63"/>
    </x:row>
    <x:row r="815">
      <x:c r="A815" s="54"/>
      <x:c r="B815" s="60"/>
      <x:c r="C815" s="54"/>
      <x:c r="D815" s="57" t="str">
        <x:f>IF($C815="","",IFERROR(VLOOKUP($C815,'Leads'!$A$6:$C$505,3,FALSE),"Lead ID not found"))</x:f>
      </x:c>
      <x:c r="E815" s="54"/>
      <x:c r="F815" s="54"/>
      <x:c r="G815" s="63"/>
      <x:c r="H815" s="54"/>
      <x:c r="I815" s="60"/>
      <x:c r="J815" s="54"/>
      <x:c r="K815" s="54"/>
      <x:c r="L815" s="54"/>
      <x:c r="M815" s="63"/>
    </x:row>
    <x:row r="816">
      <x:c r="A816" s="54"/>
      <x:c r="B816" s="60"/>
      <x:c r="C816" s="54"/>
      <x:c r="D816" s="57" t="str">
        <x:f>IF($C816="","",IFERROR(VLOOKUP($C816,'Leads'!$A$6:$C$505,3,FALSE),"Lead ID not found"))</x:f>
      </x:c>
      <x:c r="E816" s="54"/>
      <x:c r="F816" s="54"/>
      <x:c r="G816" s="63"/>
      <x:c r="H816" s="54"/>
      <x:c r="I816" s="60"/>
      <x:c r="J816" s="54"/>
      <x:c r="K816" s="54"/>
      <x:c r="L816" s="54"/>
      <x:c r="M816" s="63"/>
    </x:row>
    <x:row r="817">
      <x:c r="A817" s="54"/>
      <x:c r="B817" s="60"/>
      <x:c r="C817" s="54"/>
      <x:c r="D817" s="57" t="str">
        <x:f>IF($C817="","",IFERROR(VLOOKUP($C817,'Leads'!$A$6:$C$505,3,FALSE),"Lead ID not found"))</x:f>
      </x:c>
      <x:c r="E817" s="54"/>
      <x:c r="F817" s="54"/>
      <x:c r="G817" s="63"/>
      <x:c r="H817" s="54"/>
      <x:c r="I817" s="60"/>
      <x:c r="J817" s="54"/>
      <x:c r="K817" s="54"/>
      <x:c r="L817" s="54"/>
      <x:c r="M817" s="63"/>
    </x:row>
    <x:row r="818">
      <x:c r="A818" s="54"/>
      <x:c r="B818" s="60"/>
      <x:c r="C818" s="54"/>
      <x:c r="D818" s="57" t="str">
        <x:f>IF($C818="","",IFERROR(VLOOKUP($C818,'Leads'!$A$6:$C$505,3,FALSE),"Lead ID not found"))</x:f>
      </x:c>
      <x:c r="E818" s="54"/>
      <x:c r="F818" s="54"/>
      <x:c r="G818" s="63"/>
      <x:c r="H818" s="54"/>
      <x:c r="I818" s="60"/>
      <x:c r="J818" s="54"/>
      <x:c r="K818" s="54"/>
      <x:c r="L818" s="54"/>
      <x:c r="M818" s="63"/>
    </x:row>
    <x:row r="819">
      <x:c r="A819" s="54"/>
      <x:c r="B819" s="60"/>
      <x:c r="C819" s="54"/>
      <x:c r="D819" s="57" t="str">
        <x:f>IF($C819="","",IFERROR(VLOOKUP($C819,'Leads'!$A$6:$C$505,3,FALSE),"Lead ID not found"))</x:f>
      </x:c>
      <x:c r="E819" s="54"/>
      <x:c r="F819" s="54"/>
      <x:c r="G819" s="63"/>
      <x:c r="H819" s="54"/>
      <x:c r="I819" s="60"/>
      <x:c r="J819" s="54"/>
      <x:c r="K819" s="54"/>
      <x:c r="L819" s="54"/>
      <x:c r="M819" s="63"/>
    </x:row>
    <x:row r="820">
      <x:c r="A820" s="54"/>
      <x:c r="B820" s="60"/>
      <x:c r="C820" s="54"/>
      <x:c r="D820" s="57" t="str">
        <x:f>IF($C820="","",IFERROR(VLOOKUP($C820,'Leads'!$A$6:$C$505,3,FALSE),"Lead ID not found"))</x:f>
      </x:c>
      <x:c r="E820" s="54"/>
      <x:c r="F820" s="54"/>
      <x:c r="G820" s="63"/>
      <x:c r="H820" s="54"/>
      <x:c r="I820" s="60"/>
      <x:c r="J820" s="54"/>
      <x:c r="K820" s="54"/>
      <x:c r="L820" s="54"/>
      <x:c r="M820" s="63"/>
    </x:row>
    <x:row r="821">
      <x:c r="A821" s="54"/>
      <x:c r="B821" s="60"/>
      <x:c r="C821" s="54"/>
      <x:c r="D821" s="57" t="str">
        <x:f>IF($C821="","",IFERROR(VLOOKUP($C821,'Leads'!$A$6:$C$505,3,FALSE),"Lead ID not found"))</x:f>
      </x:c>
      <x:c r="E821" s="54"/>
      <x:c r="F821" s="54"/>
      <x:c r="G821" s="63"/>
      <x:c r="H821" s="54"/>
      <x:c r="I821" s="60"/>
      <x:c r="J821" s="54"/>
      <x:c r="K821" s="54"/>
      <x:c r="L821" s="54"/>
      <x:c r="M821" s="63"/>
    </x:row>
    <x:row r="822">
      <x:c r="A822" s="54"/>
      <x:c r="B822" s="60"/>
      <x:c r="C822" s="54"/>
      <x:c r="D822" s="57" t="str">
        <x:f>IF($C822="","",IFERROR(VLOOKUP($C822,'Leads'!$A$6:$C$505,3,FALSE),"Lead ID not found"))</x:f>
      </x:c>
      <x:c r="E822" s="54"/>
      <x:c r="F822" s="54"/>
      <x:c r="G822" s="63"/>
      <x:c r="H822" s="54"/>
      <x:c r="I822" s="60"/>
      <x:c r="J822" s="54"/>
      <x:c r="K822" s="54"/>
      <x:c r="L822" s="54"/>
      <x:c r="M822" s="63"/>
    </x:row>
    <x:row r="823">
      <x:c r="A823" s="54"/>
      <x:c r="B823" s="60"/>
      <x:c r="C823" s="54"/>
      <x:c r="D823" s="57" t="str">
        <x:f>IF($C823="","",IFERROR(VLOOKUP($C823,'Leads'!$A$6:$C$505,3,FALSE),"Lead ID not found"))</x:f>
      </x:c>
      <x:c r="E823" s="54"/>
      <x:c r="F823" s="54"/>
      <x:c r="G823" s="63"/>
      <x:c r="H823" s="54"/>
      <x:c r="I823" s="60"/>
      <x:c r="J823" s="54"/>
      <x:c r="K823" s="54"/>
      <x:c r="L823" s="54"/>
      <x:c r="M823" s="63"/>
    </x:row>
    <x:row r="824">
      <x:c r="A824" s="54"/>
      <x:c r="B824" s="60"/>
      <x:c r="C824" s="54"/>
      <x:c r="D824" s="57" t="str">
        <x:f>IF($C824="","",IFERROR(VLOOKUP($C824,'Leads'!$A$6:$C$505,3,FALSE),"Lead ID not found"))</x:f>
      </x:c>
      <x:c r="E824" s="54"/>
      <x:c r="F824" s="54"/>
      <x:c r="G824" s="63"/>
      <x:c r="H824" s="54"/>
      <x:c r="I824" s="60"/>
      <x:c r="J824" s="54"/>
      <x:c r="K824" s="54"/>
      <x:c r="L824" s="54"/>
      <x:c r="M824" s="63"/>
    </x:row>
    <x:row r="825">
      <x:c r="A825" s="54"/>
      <x:c r="B825" s="60"/>
      <x:c r="C825" s="54"/>
      <x:c r="D825" s="57" t="str">
        <x:f>IF($C825="","",IFERROR(VLOOKUP($C825,'Leads'!$A$6:$C$505,3,FALSE),"Lead ID not found"))</x:f>
      </x:c>
      <x:c r="E825" s="54"/>
      <x:c r="F825" s="54"/>
      <x:c r="G825" s="63"/>
      <x:c r="H825" s="54"/>
      <x:c r="I825" s="60"/>
      <x:c r="J825" s="54"/>
      <x:c r="K825" s="54"/>
      <x:c r="L825" s="54"/>
      <x:c r="M825" s="63"/>
    </x:row>
    <x:row r="826">
      <x:c r="A826" s="54"/>
      <x:c r="B826" s="60"/>
      <x:c r="C826" s="54"/>
      <x:c r="D826" s="57" t="str">
        <x:f>IF($C826="","",IFERROR(VLOOKUP($C826,'Leads'!$A$6:$C$505,3,FALSE),"Lead ID not found"))</x:f>
      </x:c>
      <x:c r="E826" s="54"/>
      <x:c r="F826" s="54"/>
      <x:c r="G826" s="63"/>
      <x:c r="H826" s="54"/>
      <x:c r="I826" s="60"/>
      <x:c r="J826" s="54"/>
      <x:c r="K826" s="54"/>
      <x:c r="L826" s="54"/>
      <x:c r="M826" s="63"/>
    </x:row>
    <x:row r="827">
      <x:c r="A827" s="54"/>
      <x:c r="B827" s="60"/>
      <x:c r="C827" s="54"/>
      <x:c r="D827" s="57" t="str">
        <x:f>IF($C827="","",IFERROR(VLOOKUP($C827,'Leads'!$A$6:$C$505,3,FALSE),"Lead ID not found"))</x:f>
      </x:c>
      <x:c r="E827" s="54"/>
      <x:c r="F827" s="54"/>
      <x:c r="G827" s="63"/>
      <x:c r="H827" s="54"/>
      <x:c r="I827" s="60"/>
      <x:c r="J827" s="54"/>
      <x:c r="K827" s="54"/>
      <x:c r="L827" s="54"/>
      <x:c r="M827" s="63"/>
    </x:row>
    <x:row r="828">
      <x:c r="A828" s="54"/>
      <x:c r="B828" s="60"/>
      <x:c r="C828" s="54"/>
      <x:c r="D828" s="57" t="str">
        <x:f>IF($C828="","",IFERROR(VLOOKUP($C828,'Leads'!$A$6:$C$505,3,FALSE),"Lead ID not found"))</x:f>
      </x:c>
      <x:c r="E828" s="54"/>
      <x:c r="F828" s="54"/>
      <x:c r="G828" s="63"/>
      <x:c r="H828" s="54"/>
      <x:c r="I828" s="60"/>
      <x:c r="J828" s="54"/>
      <x:c r="K828" s="54"/>
      <x:c r="L828" s="54"/>
      <x:c r="M828" s="63"/>
    </x:row>
    <x:row r="829">
      <x:c r="A829" s="54"/>
      <x:c r="B829" s="60"/>
      <x:c r="C829" s="54"/>
      <x:c r="D829" s="57" t="str">
        <x:f>IF($C829="","",IFERROR(VLOOKUP($C829,'Leads'!$A$6:$C$505,3,FALSE),"Lead ID not found"))</x:f>
      </x:c>
      <x:c r="E829" s="54"/>
      <x:c r="F829" s="54"/>
      <x:c r="G829" s="63"/>
      <x:c r="H829" s="54"/>
      <x:c r="I829" s="60"/>
      <x:c r="J829" s="54"/>
      <x:c r="K829" s="54"/>
      <x:c r="L829" s="54"/>
      <x:c r="M829" s="63"/>
    </x:row>
    <x:row r="830">
      <x:c r="A830" s="54"/>
      <x:c r="B830" s="60"/>
      <x:c r="C830" s="54"/>
      <x:c r="D830" s="57" t="str">
        <x:f>IF($C830="","",IFERROR(VLOOKUP($C830,'Leads'!$A$6:$C$505,3,FALSE),"Lead ID not found"))</x:f>
      </x:c>
      <x:c r="E830" s="54"/>
      <x:c r="F830" s="54"/>
      <x:c r="G830" s="63"/>
      <x:c r="H830" s="54"/>
      <x:c r="I830" s="60"/>
      <x:c r="J830" s="54"/>
      <x:c r="K830" s="54"/>
      <x:c r="L830" s="54"/>
      <x:c r="M830" s="63"/>
    </x:row>
    <x:row r="831">
      <x:c r="A831" s="54"/>
      <x:c r="B831" s="60"/>
      <x:c r="C831" s="54"/>
      <x:c r="D831" s="57" t="str">
        <x:f>IF($C831="","",IFERROR(VLOOKUP($C831,'Leads'!$A$6:$C$505,3,FALSE),"Lead ID not found"))</x:f>
      </x:c>
      <x:c r="E831" s="54"/>
      <x:c r="F831" s="54"/>
      <x:c r="G831" s="63"/>
      <x:c r="H831" s="54"/>
      <x:c r="I831" s="60"/>
      <x:c r="J831" s="54"/>
      <x:c r="K831" s="54"/>
      <x:c r="L831" s="54"/>
      <x:c r="M831" s="63"/>
    </x:row>
    <x:row r="832">
      <x:c r="A832" s="54"/>
      <x:c r="B832" s="60"/>
      <x:c r="C832" s="54"/>
      <x:c r="D832" s="57" t="str">
        <x:f>IF($C832="","",IFERROR(VLOOKUP($C832,'Leads'!$A$6:$C$505,3,FALSE),"Lead ID not found"))</x:f>
      </x:c>
      <x:c r="E832" s="54"/>
      <x:c r="F832" s="54"/>
      <x:c r="G832" s="63"/>
      <x:c r="H832" s="54"/>
      <x:c r="I832" s="60"/>
      <x:c r="J832" s="54"/>
      <x:c r="K832" s="54"/>
      <x:c r="L832" s="54"/>
      <x:c r="M832" s="63"/>
    </x:row>
    <x:row r="833">
      <x:c r="A833" s="54"/>
      <x:c r="B833" s="60"/>
      <x:c r="C833" s="54"/>
      <x:c r="D833" s="57" t="str">
        <x:f>IF($C833="","",IFERROR(VLOOKUP($C833,'Leads'!$A$6:$C$505,3,FALSE),"Lead ID not found"))</x:f>
      </x:c>
      <x:c r="E833" s="54"/>
      <x:c r="F833" s="54"/>
      <x:c r="G833" s="63"/>
      <x:c r="H833" s="54"/>
      <x:c r="I833" s="60"/>
      <x:c r="J833" s="54"/>
      <x:c r="K833" s="54"/>
      <x:c r="L833" s="54"/>
      <x:c r="M833" s="63"/>
    </x:row>
    <x:row r="834">
      <x:c r="A834" s="54"/>
      <x:c r="B834" s="60"/>
      <x:c r="C834" s="54"/>
      <x:c r="D834" s="57" t="str">
        <x:f>IF($C834="","",IFERROR(VLOOKUP($C834,'Leads'!$A$6:$C$505,3,FALSE),"Lead ID not found"))</x:f>
      </x:c>
      <x:c r="E834" s="54"/>
      <x:c r="F834" s="54"/>
      <x:c r="G834" s="63"/>
      <x:c r="H834" s="54"/>
      <x:c r="I834" s="60"/>
      <x:c r="J834" s="54"/>
      <x:c r="K834" s="54"/>
      <x:c r="L834" s="54"/>
      <x:c r="M834" s="63"/>
    </x:row>
    <x:row r="835">
      <x:c r="A835" s="54"/>
      <x:c r="B835" s="60"/>
      <x:c r="C835" s="54"/>
      <x:c r="D835" s="57" t="str">
        <x:f>IF($C835="","",IFERROR(VLOOKUP($C835,'Leads'!$A$6:$C$505,3,FALSE),"Lead ID not found"))</x:f>
      </x:c>
      <x:c r="E835" s="54"/>
      <x:c r="F835" s="54"/>
      <x:c r="G835" s="63"/>
      <x:c r="H835" s="54"/>
      <x:c r="I835" s="60"/>
      <x:c r="J835" s="54"/>
      <x:c r="K835" s="54"/>
      <x:c r="L835" s="54"/>
      <x:c r="M835" s="63"/>
    </x:row>
    <x:row r="836">
      <x:c r="A836" s="54"/>
      <x:c r="B836" s="60"/>
      <x:c r="C836" s="54"/>
      <x:c r="D836" s="57" t="str">
        <x:f>IF($C836="","",IFERROR(VLOOKUP($C836,'Leads'!$A$6:$C$505,3,FALSE),"Lead ID not found"))</x:f>
      </x:c>
      <x:c r="E836" s="54"/>
      <x:c r="F836" s="54"/>
      <x:c r="G836" s="63"/>
      <x:c r="H836" s="54"/>
      <x:c r="I836" s="60"/>
      <x:c r="J836" s="54"/>
      <x:c r="K836" s="54"/>
      <x:c r="L836" s="54"/>
      <x:c r="M836" s="63"/>
    </x:row>
    <x:row r="837">
      <x:c r="A837" s="54"/>
      <x:c r="B837" s="60"/>
      <x:c r="C837" s="54"/>
      <x:c r="D837" s="57" t="str">
        <x:f>IF($C837="","",IFERROR(VLOOKUP($C837,'Leads'!$A$6:$C$505,3,FALSE),"Lead ID not found"))</x:f>
      </x:c>
      <x:c r="E837" s="54"/>
      <x:c r="F837" s="54"/>
      <x:c r="G837" s="63"/>
      <x:c r="H837" s="54"/>
      <x:c r="I837" s="60"/>
      <x:c r="J837" s="54"/>
      <x:c r="K837" s="54"/>
      <x:c r="L837" s="54"/>
      <x:c r="M837" s="63"/>
    </x:row>
    <x:row r="838">
      <x:c r="A838" s="54"/>
      <x:c r="B838" s="60"/>
      <x:c r="C838" s="54"/>
      <x:c r="D838" s="57" t="str">
        <x:f>IF($C838="","",IFERROR(VLOOKUP($C838,'Leads'!$A$6:$C$505,3,FALSE),"Lead ID not found"))</x:f>
      </x:c>
      <x:c r="E838" s="54"/>
      <x:c r="F838" s="54"/>
      <x:c r="G838" s="63"/>
      <x:c r="H838" s="54"/>
      <x:c r="I838" s="60"/>
      <x:c r="J838" s="54"/>
      <x:c r="K838" s="54"/>
      <x:c r="L838" s="54"/>
      <x:c r="M838" s="63"/>
    </x:row>
    <x:row r="839">
      <x:c r="A839" s="54"/>
      <x:c r="B839" s="60"/>
      <x:c r="C839" s="54"/>
      <x:c r="D839" s="57" t="str">
        <x:f>IF($C839="","",IFERROR(VLOOKUP($C839,'Leads'!$A$6:$C$505,3,FALSE),"Lead ID not found"))</x:f>
      </x:c>
      <x:c r="E839" s="54"/>
      <x:c r="F839" s="54"/>
      <x:c r="G839" s="63"/>
      <x:c r="H839" s="54"/>
      <x:c r="I839" s="60"/>
      <x:c r="J839" s="54"/>
      <x:c r="K839" s="54"/>
      <x:c r="L839" s="54"/>
      <x:c r="M839" s="63"/>
    </x:row>
    <x:row r="840">
      <x:c r="A840" s="54"/>
      <x:c r="B840" s="60"/>
      <x:c r="C840" s="54"/>
      <x:c r="D840" s="57" t="str">
        <x:f>IF($C840="","",IFERROR(VLOOKUP($C840,'Leads'!$A$6:$C$505,3,FALSE),"Lead ID not found"))</x:f>
      </x:c>
      <x:c r="E840" s="54"/>
      <x:c r="F840" s="54"/>
      <x:c r="G840" s="63"/>
      <x:c r="H840" s="54"/>
      <x:c r="I840" s="60"/>
      <x:c r="J840" s="54"/>
      <x:c r="K840" s="54"/>
      <x:c r="L840" s="54"/>
      <x:c r="M840" s="63"/>
    </x:row>
    <x:row r="841">
      <x:c r="A841" s="54"/>
      <x:c r="B841" s="60"/>
      <x:c r="C841" s="54"/>
      <x:c r="D841" s="57" t="str">
        <x:f>IF($C841="","",IFERROR(VLOOKUP($C841,'Leads'!$A$6:$C$505,3,FALSE),"Lead ID not found"))</x:f>
      </x:c>
      <x:c r="E841" s="54"/>
      <x:c r="F841" s="54"/>
      <x:c r="G841" s="63"/>
      <x:c r="H841" s="54"/>
      <x:c r="I841" s="60"/>
      <x:c r="J841" s="54"/>
      <x:c r="K841" s="54"/>
      <x:c r="L841" s="54"/>
      <x:c r="M841" s="63"/>
    </x:row>
    <x:row r="842">
      <x:c r="A842" s="54"/>
      <x:c r="B842" s="60"/>
      <x:c r="C842" s="54"/>
      <x:c r="D842" s="57" t="str">
        <x:f>IF($C842="","",IFERROR(VLOOKUP($C842,'Leads'!$A$6:$C$505,3,FALSE),"Lead ID not found"))</x:f>
      </x:c>
      <x:c r="E842" s="54"/>
      <x:c r="F842" s="54"/>
      <x:c r="G842" s="63"/>
      <x:c r="H842" s="54"/>
      <x:c r="I842" s="60"/>
      <x:c r="J842" s="54"/>
      <x:c r="K842" s="54"/>
      <x:c r="L842" s="54"/>
      <x:c r="M842" s="63"/>
    </x:row>
    <x:row r="843">
      <x:c r="A843" s="54"/>
      <x:c r="B843" s="60"/>
      <x:c r="C843" s="54"/>
      <x:c r="D843" s="57" t="str">
        <x:f>IF($C843="","",IFERROR(VLOOKUP($C843,'Leads'!$A$6:$C$505,3,FALSE),"Lead ID not found"))</x:f>
      </x:c>
      <x:c r="E843" s="54"/>
      <x:c r="F843" s="54"/>
      <x:c r="G843" s="63"/>
      <x:c r="H843" s="54"/>
      <x:c r="I843" s="60"/>
      <x:c r="J843" s="54"/>
      <x:c r="K843" s="54"/>
      <x:c r="L843" s="54"/>
      <x:c r="M843" s="63"/>
    </x:row>
    <x:row r="844">
      <x:c r="A844" s="54"/>
      <x:c r="B844" s="60"/>
      <x:c r="C844" s="54"/>
      <x:c r="D844" s="57" t="str">
        <x:f>IF($C844="","",IFERROR(VLOOKUP($C844,'Leads'!$A$6:$C$505,3,FALSE),"Lead ID not found"))</x:f>
      </x:c>
      <x:c r="E844" s="54"/>
      <x:c r="F844" s="54"/>
      <x:c r="G844" s="63"/>
      <x:c r="H844" s="54"/>
      <x:c r="I844" s="60"/>
      <x:c r="J844" s="54"/>
      <x:c r="K844" s="54"/>
      <x:c r="L844" s="54"/>
      <x:c r="M844" s="63"/>
    </x:row>
    <x:row r="845">
      <x:c r="A845" s="54"/>
      <x:c r="B845" s="60"/>
      <x:c r="C845" s="54"/>
      <x:c r="D845" s="57" t="str">
        <x:f>IF($C845="","",IFERROR(VLOOKUP($C845,'Leads'!$A$6:$C$505,3,FALSE),"Lead ID not found"))</x:f>
      </x:c>
      <x:c r="E845" s="54"/>
      <x:c r="F845" s="54"/>
      <x:c r="G845" s="63"/>
      <x:c r="H845" s="54"/>
      <x:c r="I845" s="60"/>
      <x:c r="J845" s="54"/>
      <x:c r="K845" s="54"/>
      <x:c r="L845" s="54"/>
      <x:c r="M845" s="63"/>
    </x:row>
    <x:row r="846">
      <x:c r="A846" s="54"/>
      <x:c r="B846" s="60"/>
      <x:c r="C846" s="54"/>
      <x:c r="D846" s="57" t="str">
        <x:f>IF($C846="","",IFERROR(VLOOKUP($C846,'Leads'!$A$6:$C$505,3,FALSE),"Lead ID not found"))</x:f>
      </x:c>
      <x:c r="E846" s="54"/>
      <x:c r="F846" s="54"/>
      <x:c r="G846" s="63"/>
      <x:c r="H846" s="54"/>
      <x:c r="I846" s="60"/>
      <x:c r="J846" s="54"/>
      <x:c r="K846" s="54"/>
      <x:c r="L846" s="54"/>
      <x:c r="M846" s="63"/>
    </x:row>
    <x:row r="847">
      <x:c r="A847" s="54"/>
      <x:c r="B847" s="60"/>
      <x:c r="C847" s="54"/>
      <x:c r="D847" s="57" t="str">
        <x:f>IF($C847="","",IFERROR(VLOOKUP($C847,'Leads'!$A$6:$C$505,3,FALSE),"Lead ID not found"))</x:f>
      </x:c>
      <x:c r="E847" s="54"/>
      <x:c r="F847" s="54"/>
      <x:c r="G847" s="63"/>
      <x:c r="H847" s="54"/>
      <x:c r="I847" s="60"/>
      <x:c r="J847" s="54"/>
      <x:c r="K847" s="54"/>
      <x:c r="L847" s="54"/>
      <x:c r="M847" s="63"/>
    </x:row>
    <x:row r="848">
      <x:c r="A848" s="54"/>
      <x:c r="B848" s="60"/>
      <x:c r="C848" s="54"/>
      <x:c r="D848" s="57" t="str">
        <x:f>IF($C848="","",IFERROR(VLOOKUP($C848,'Leads'!$A$6:$C$505,3,FALSE),"Lead ID not found"))</x:f>
      </x:c>
      <x:c r="E848" s="54"/>
      <x:c r="F848" s="54"/>
      <x:c r="G848" s="63"/>
      <x:c r="H848" s="54"/>
      <x:c r="I848" s="60"/>
      <x:c r="J848" s="54"/>
      <x:c r="K848" s="54"/>
      <x:c r="L848" s="54"/>
      <x:c r="M848" s="63"/>
    </x:row>
    <x:row r="849">
      <x:c r="A849" s="54"/>
      <x:c r="B849" s="60"/>
      <x:c r="C849" s="54"/>
      <x:c r="D849" s="57" t="str">
        <x:f>IF($C849="","",IFERROR(VLOOKUP($C849,'Leads'!$A$6:$C$505,3,FALSE),"Lead ID not found"))</x:f>
      </x:c>
      <x:c r="E849" s="54"/>
      <x:c r="F849" s="54"/>
      <x:c r="G849" s="63"/>
      <x:c r="H849" s="54"/>
      <x:c r="I849" s="60"/>
      <x:c r="J849" s="54"/>
      <x:c r="K849" s="54"/>
      <x:c r="L849" s="54"/>
      <x:c r="M849" s="63"/>
    </x:row>
    <x:row r="850">
      <x:c r="A850" s="54"/>
      <x:c r="B850" s="60"/>
      <x:c r="C850" s="54"/>
      <x:c r="D850" s="57" t="str">
        <x:f>IF($C850="","",IFERROR(VLOOKUP($C850,'Leads'!$A$6:$C$505,3,FALSE),"Lead ID not found"))</x:f>
      </x:c>
      <x:c r="E850" s="54"/>
      <x:c r="F850" s="54"/>
      <x:c r="G850" s="63"/>
      <x:c r="H850" s="54"/>
      <x:c r="I850" s="60"/>
      <x:c r="J850" s="54"/>
      <x:c r="K850" s="54"/>
      <x:c r="L850" s="54"/>
      <x:c r="M850" s="63"/>
    </x:row>
    <x:row r="851">
      <x:c r="A851" s="54"/>
      <x:c r="B851" s="60"/>
      <x:c r="C851" s="54"/>
      <x:c r="D851" s="57" t="str">
        <x:f>IF($C851="","",IFERROR(VLOOKUP($C851,'Leads'!$A$6:$C$505,3,FALSE),"Lead ID not found"))</x:f>
      </x:c>
      <x:c r="E851" s="54"/>
      <x:c r="F851" s="54"/>
      <x:c r="G851" s="63"/>
      <x:c r="H851" s="54"/>
      <x:c r="I851" s="60"/>
      <x:c r="J851" s="54"/>
      <x:c r="K851" s="54"/>
      <x:c r="L851" s="54"/>
      <x:c r="M851" s="63"/>
    </x:row>
    <x:row r="852">
      <x:c r="A852" s="54"/>
      <x:c r="B852" s="60"/>
      <x:c r="C852" s="54"/>
      <x:c r="D852" s="57" t="str">
        <x:f>IF($C852="","",IFERROR(VLOOKUP($C852,'Leads'!$A$6:$C$505,3,FALSE),"Lead ID not found"))</x:f>
      </x:c>
      <x:c r="E852" s="54"/>
      <x:c r="F852" s="54"/>
      <x:c r="G852" s="63"/>
      <x:c r="H852" s="54"/>
      <x:c r="I852" s="60"/>
      <x:c r="J852" s="54"/>
      <x:c r="K852" s="54"/>
      <x:c r="L852" s="54"/>
      <x:c r="M852" s="63"/>
    </x:row>
    <x:row r="853">
      <x:c r="A853" s="54"/>
      <x:c r="B853" s="60"/>
      <x:c r="C853" s="54"/>
      <x:c r="D853" s="57" t="str">
        <x:f>IF($C853="","",IFERROR(VLOOKUP($C853,'Leads'!$A$6:$C$505,3,FALSE),"Lead ID not found"))</x:f>
      </x:c>
      <x:c r="E853" s="54"/>
      <x:c r="F853" s="54"/>
      <x:c r="G853" s="63"/>
      <x:c r="H853" s="54"/>
      <x:c r="I853" s="60"/>
      <x:c r="J853" s="54"/>
      <x:c r="K853" s="54"/>
      <x:c r="L853" s="54"/>
      <x:c r="M853" s="63"/>
    </x:row>
    <x:row r="854">
      <x:c r="A854" s="54"/>
      <x:c r="B854" s="60"/>
      <x:c r="C854" s="54"/>
      <x:c r="D854" s="57" t="str">
        <x:f>IF($C854="","",IFERROR(VLOOKUP($C854,'Leads'!$A$6:$C$505,3,FALSE),"Lead ID not found"))</x:f>
      </x:c>
      <x:c r="E854" s="54"/>
      <x:c r="F854" s="54"/>
      <x:c r="G854" s="63"/>
      <x:c r="H854" s="54"/>
      <x:c r="I854" s="60"/>
      <x:c r="J854" s="54"/>
      <x:c r="K854" s="54"/>
      <x:c r="L854" s="54"/>
      <x:c r="M854" s="63"/>
    </x:row>
    <x:row r="855">
      <x:c r="A855" s="54"/>
      <x:c r="B855" s="60"/>
      <x:c r="C855" s="54"/>
      <x:c r="D855" s="57" t="str">
        <x:f>IF($C855="","",IFERROR(VLOOKUP($C855,'Leads'!$A$6:$C$505,3,FALSE),"Lead ID not found"))</x:f>
      </x:c>
      <x:c r="E855" s="54"/>
      <x:c r="F855" s="54"/>
      <x:c r="G855" s="63"/>
      <x:c r="H855" s="54"/>
      <x:c r="I855" s="60"/>
      <x:c r="J855" s="54"/>
      <x:c r="K855" s="54"/>
      <x:c r="L855" s="54"/>
      <x:c r="M855" s="63"/>
    </x:row>
    <x:row r="856">
      <x:c r="A856" s="54"/>
      <x:c r="B856" s="60"/>
      <x:c r="C856" s="54"/>
      <x:c r="D856" s="57" t="str">
        <x:f>IF($C856="","",IFERROR(VLOOKUP($C856,'Leads'!$A$6:$C$505,3,FALSE),"Lead ID not found"))</x:f>
      </x:c>
      <x:c r="E856" s="54"/>
      <x:c r="F856" s="54"/>
      <x:c r="G856" s="63"/>
      <x:c r="H856" s="54"/>
      <x:c r="I856" s="60"/>
      <x:c r="J856" s="54"/>
      <x:c r="K856" s="54"/>
      <x:c r="L856" s="54"/>
      <x:c r="M856" s="63"/>
    </x:row>
    <x:row r="857">
      <x:c r="A857" s="54"/>
      <x:c r="B857" s="60"/>
      <x:c r="C857" s="54"/>
      <x:c r="D857" s="57" t="str">
        <x:f>IF($C857="","",IFERROR(VLOOKUP($C857,'Leads'!$A$6:$C$505,3,FALSE),"Lead ID not found"))</x:f>
      </x:c>
      <x:c r="E857" s="54"/>
      <x:c r="F857" s="54"/>
      <x:c r="G857" s="63"/>
      <x:c r="H857" s="54"/>
      <x:c r="I857" s="60"/>
      <x:c r="J857" s="54"/>
      <x:c r="K857" s="54"/>
      <x:c r="L857" s="54"/>
      <x:c r="M857" s="63"/>
    </x:row>
    <x:row r="858">
      <x:c r="A858" s="54"/>
      <x:c r="B858" s="60"/>
      <x:c r="C858" s="54"/>
      <x:c r="D858" s="57" t="str">
        <x:f>IF($C858="","",IFERROR(VLOOKUP($C858,'Leads'!$A$6:$C$505,3,FALSE),"Lead ID not found"))</x:f>
      </x:c>
      <x:c r="E858" s="54"/>
      <x:c r="F858" s="54"/>
      <x:c r="G858" s="63"/>
      <x:c r="H858" s="54"/>
      <x:c r="I858" s="60"/>
      <x:c r="J858" s="54"/>
      <x:c r="K858" s="54"/>
      <x:c r="L858" s="54"/>
      <x:c r="M858" s="63"/>
    </x:row>
    <x:row r="859">
      <x:c r="A859" s="54"/>
      <x:c r="B859" s="60"/>
      <x:c r="C859" s="54"/>
      <x:c r="D859" s="57" t="str">
        <x:f>IF($C859="","",IFERROR(VLOOKUP($C859,'Leads'!$A$6:$C$505,3,FALSE),"Lead ID not found"))</x:f>
      </x:c>
      <x:c r="E859" s="54"/>
      <x:c r="F859" s="54"/>
      <x:c r="G859" s="63"/>
      <x:c r="H859" s="54"/>
      <x:c r="I859" s="60"/>
      <x:c r="J859" s="54"/>
      <x:c r="K859" s="54"/>
      <x:c r="L859" s="54"/>
      <x:c r="M859" s="63"/>
    </x:row>
    <x:row r="860">
      <x:c r="A860" s="54"/>
      <x:c r="B860" s="60"/>
      <x:c r="C860" s="54"/>
      <x:c r="D860" s="57" t="str">
        <x:f>IF($C860="","",IFERROR(VLOOKUP($C860,'Leads'!$A$6:$C$505,3,FALSE),"Lead ID not found"))</x:f>
      </x:c>
      <x:c r="E860" s="54"/>
      <x:c r="F860" s="54"/>
      <x:c r="G860" s="63"/>
      <x:c r="H860" s="54"/>
      <x:c r="I860" s="60"/>
      <x:c r="J860" s="54"/>
      <x:c r="K860" s="54"/>
      <x:c r="L860" s="54"/>
      <x:c r="M860" s="63"/>
    </x:row>
    <x:row r="861">
      <x:c r="A861" s="54"/>
      <x:c r="B861" s="60"/>
      <x:c r="C861" s="54"/>
      <x:c r="D861" s="57" t="str">
        <x:f>IF($C861="","",IFERROR(VLOOKUP($C861,'Leads'!$A$6:$C$505,3,FALSE),"Lead ID not found"))</x:f>
      </x:c>
      <x:c r="E861" s="54"/>
      <x:c r="F861" s="54"/>
      <x:c r="G861" s="63"/>
      <x:c r="H861" s="54"/>
      <x:c r="I861" s="60"/>
      <x:c r="J861" s="54"/>
      <x:c r="K861" s="54"/>
      <x:c r="L861" s="54"/>
      <x:c r="M861" s="63"/>
    </x:row>
    <x:row r="862">
      <x:c r="A862" s="54"/>
      <x:c r="B862" s="60"/>
      <x:c r="C862" s="54"/>
      <x:c r="D862" s="57" t="str">
        <x:f>IF($C862="","",IFERROR(VLOOKUP($C862,'Leads'!$A$6:$C$505,3,FALSE),"Lead ID not found"))</x:f>
      </x:c>
      <x:c r="E862" s="54"/>
      <x:c r="F862" s="54"/>
      <x:c r="G862" s="63"/>
      <x:c r="H862" s="54"/>
      <x:c r="I862" s="60"/>
      <x:c r="J862" s="54"/>
      <x:c r="K862" s="54"/>
      <x:c r="L862" s="54"/>
      <x:c r="M862" s="63"/>
    </x:row>
    <x:row r="863">
      <x:c r="A863" s="54"/>
      <x:c r="B863" s="60"/>
      <x:c r="C863" s="54"/>
      <x:c r="D863" s="57" t="str">
        <x:f>IF($C863="","",IFERROR(VLOOKUP($C863,'Leads'!$A$6:$C$505,3,FALSE),"Lead ID not found"))</x:f>
      </x:c>
      <x:c r="E863" s="54"/>
      <x:c r="F863" s="54"/>
      <x:c r="G863" s="63"/>
      <x:c r="H863" s="54"/>
      <x:c r="I863" s="60"/>
      <x:c r="J863" s="54"/>
      <x:c r="K863" s="54"/>
      <x:c r="L863" s="54"/>
      <x:c r="M863" s="63"/>
    </x:row>
    <x:row r="864">
      <x:c r="A864" s="54"/>
      <x:c r="B864" s="60"/>
      <x:c r="C864" s="54"/>
      <x:c r="D864" s="57" t="str">
        <x:f>IF($C864="","",IFERROR(VLOOKUP($C864,'Leads'!$A$6:$C$505,3,FALSE),"Lead ID not found"))</x:f>
      </x:c>
      <x:c r="E864" s="54"/>
      <x:c r="F864" s="54"/>
      <x:c r="G864" s="63"/>
      <x:c r="H864" s="54"/>
      <x:c r="I864" s="60"/>
      <x:c r="J864" s="54"/>
      <x:c r="K864" s="54"/>
      <x:c r="L864" s="54"/>
      <x:c r="M864" s="63"/>
    </x:row>
    <x:row r="865">
      <x:c r="A865" s="54"/>
      <x:c r="B865" s="60"/>
      <x:c r="C865" s="54"/>
      <x:c r="D865" s="57" t="str">
        <x:f>IF($C865="","",IFERROR(VLOOKUP($C865,'Leads'!$A$6:$C$505,3,FALSE),"Lead ID not found"))</x:f>
      </x:c>
      <x:c r="E865" s="54"/>
      <x:c r="F865" s="54"/>
      <x:c r="G865" s="63"/>
      <x:c r="H865" s="54"/>
      <x:c r="I865" s="60"/>
      <x:c r="J865" s="54"/>
      <x:c r="K865" s="54"/>
      <x:c r="L865" s="54"/>
      <x:c r="M865" s="63"/>
    </x:row>
    <x:row r="866">
      <x:c r="A866" s="54"/>
      <x:c r="B866" s="60"/>
      <x:c r="C866" s="54"/>
      <x:c r="D866" s="57" t="str">
        <x:f>IF($C866="","",IFERROR(VLOOKUP($C866,'Leads'!$A$6:$C$505,3,FALSE),"Lead ID not found"))</x:f>
      </x:c>
      <x:c r="E866" s="54"/>
      <x:c r="F866" s="54"/>
      <x:c r="G866" s="63"/>
      <x:c r="H866" s="54"/>
      <x:c r="I866" s="60"/>
      <x:c r="J866" s="54"/>
      <x:c r="K866" s="54"/>
      <x:c r="L866" s="54"/>
      <x:c r="M866" s="63"/>
    </x:row>
    <x:row r="867">
      <x:c r="A867" s="54"/>
      <x:c r="B867" s="60"/>
      <x:c r="C867" s="54"/>
      <x:c r="D867" s="57" t="str">
        <x:f>IF($C867="","",IFERROR(VLOOKUP($C867,'Leads'!$A$6:$C$505,3,FALSE),"Lead ID not found"))</x:f>
      </x:c>
      <x:c r="E867" s="54"/>
      <x:c r="F867" s="54"/>
      <x:c r="G867" s="63"/>
      <x:c r="H867" s="54"/>
      <x:c r="I867" s="60"/>
      <x:c r="J867" s="54"/>
      <x:c r="K867" s="54"/>
      <x:c r="L867" s="54"/>
      <x:c r="M867" s="63"/>
    </x:row>
    <x:row r="868">
      <x:c r="A868" s="54"/>
      <x:c r="B868" s="60"/>
      <x:c r="C868" s="54"/>
      <x:c r="D868" s="57" t="str">
        <x:f>IF($C868="","",IFERROR(VLOOKUP($C868,'Leads'!$A$6:$C$505,3,FALSE),"Lead ID not found"))</x:f>
      </x:c>
      <x:c r="E868" s="54"/>
      <x:c r="F868" s="54"/>
      <x:c r="G868" s="63"/>
      <x:c r="H868" s="54"/>
      <x:c r="I868" s="60"/>
      <x:c r="J868" s="54"/>
      <x:c r="K868" s="54"/>
      <x:c r="L868" s="54"/>
      <x:c r="M868" s="63"/>
    </x:row>
    <x:row r="869">
      <x:c r="A869" s="54"/>
      <x:c r="B869" s="60"/>
      <x:c r="C869" s="54"/>
      <x:c r="D869" s="57" t="str">
        <x:f>IF($C869="","",IFERROR(VLOOKUP($C869,'Leads'!$A$6:$C$505,3,FALSE),"Lead ID not found"))</x:f>
      </x:c>
      <x:c r="E869" s="54"/>
      <x:c r="F869" s="54"/>
      <x:c r="G869" s="63"/>
      <x:c r="H869" s="54"/>
      <x:c r="I869" s="60"/>
      <x:c r="J869" s="54"/>
      <x:c r="K869" s="54"/>
      <x:c r="L869" s="54"/>
      <x:c r="M869" s="63"/>
    </x:row>
    <x:row r="870">
      <x:c r="A870" s="54"/>
      <x:c r="B870" s="60"/>
      <x:c r="C870" s="54"/>
      <x:c r="D870" s="57" t="str">
        <x:f>IF($C870="","",IFERROR(VLOOKUP($C870,'Leads'!$A$6:$C$505,3,FALSE),"Lead ID not found"))</x:f>
      </x:c>
      <x:c r="E870" s="54"/>
      <x:c r="F870" s="54"/>
      <x:c r="G870" s="63"/>
      <x:c r="H870" s="54"/>
      <x:c r="I870" s="60"/>
      <x:c r="J870" s="54"/>
      <x:c r="K870" s="54"/>
      <x:c r="L870" s="54"/>
      <x:c r="M870" s="63"/>
    </x:row>
    <x:row r="871">
      <x:c r="A871" s="54"/>
      <x:c r="B871" s="60"/>
      <x:c r="C871" s="54"/>
      <x:c r="D871" s="57" t="str">
        <x:f>IF($C871="","",IFERROR(VLOOKUP($C871,'Leads'!$A$6:$C$505,3,FALSE),"Lead ID not found"))</x:f>
      </x:c>
      <x:c r="E871" s="54"/>
      <x:c r="F871" s="54"/>
      <x:c r="G871" s="63"/>
      <x:c r="H871" s="54"/>
      <x:c r="I871" s="60"/>
      <x:c r="J871" s="54"/>
      <x:c r="K871" s="54"/>
      <x:c r="L871" s="54"/>
      <x:c r="M871" s="63"/>
    </x:row>
    <x:row r="872">
      <x:c r="A872" s="54"/>
      <x:c r="B872" s="60"/>
      <x:c r="C872" s="54"/>
      <x:c r="D872" s="57" t="str">
        <x:f>IF($C872="","",IFERROR(VLOOKUP($C872,'Leads'!$A$6:$C$505,3,FALSE),"Lead ID not found"))</x:f>
      </x:c>
      <x:c r="E872" s="54"/>
      <x:c r="F872" s="54"/>
      <x:c r="G872" s="63"/>
      <x:c r="H872" s="54"/>
      <x:c r="I872" s="60"/>
      <x:c r="J872" s="54"/>
      <x:c r="K872" s="54"/>
      <x:c r="L872" s="54"/>
      <x:c r="M872" s="63"/>
    </x:row>
    <x:row r="873">
      <x:c r="A873" s="54"/>
      <x:c r="B873" s="60"/>
      <x:c r="C873" s="54"/>
      <x:c r="D873" s="57" t="str">
        <x:f>IF($C873="","",IFERROR(VLOOKUP($C873,'Leads'!$A$6:$C$505,3,FALSE),"Lead ID not found"))</x:f>
      </x:c>
      <x:c r="E873" s="54"/>
      <x:c r="F873" s="54"/>
      <x:c r="G873" s="63"/>
      <x:c r="H873" s="54"/>
      <x:c r="I873" s="60"/>
      <x:c r="J873" s="54"/>
      <x:c r="K873" s="54"/>
      <x:c r="L873" s="54"/>
      <x:c r="M873" s="63"/>
    </x:row>
    <x:row r="874">
      <x:c r="A874" s="54"/>
      <x:c r="B874" s="60"/>
      <x:c r="C874" s="54"/>
      <x:c r="D874" s="57" t="str">
        <x:f>IF($C874="","",IFERROR(VLOOKUP($C874,'Leads'!$A$6:$C$505,3,FALSE),"Lead ID not found"))</x:f>
      </x:c>
      <x:c r="E874" s="54"/>
      <x:c r="F874" s="54"/>
      <x:c r="G874" s="63"/>
      <x:c r="H874" s="54"/>
      <x:c r="I874" s="60"/>
      <x:c r="J874" s="54"/>
      <x:c r="K874" s="54"/>
      <x:c r="L874" s="54"/>
      <x:c r="M874" s="63"/>
    </x:row>
    <x:row r="875">
      <x:c r="A875" s="54"/>
      <x:c r="B875" s="60"/>
      <x:c r="C875" s="54"/>
      <x:c r="D875" s="57" t="str">
        <x:f>IF($C875="","",IFERROR(VLOOKUP($C875,'Leads'!$A$6:$C$505,3,FALSE),"Lead ID not found"))</x:f>
      </x:c>
      <x:c r="E875" s="54"/>
      <x:c r="F875" s="54"/>
      <x:c r="G875" s="63"/>
      <x:c r="H875" s="54"/>
      <x:c r="I875" s="60"/>
      <x:c r="J875" s="54"/>
      <x:c r="K875" s="54"/>
      <x:c r="L875" s="54"/>
      <x:c r="M875" s="63"/>
    </x:row>
    <x:row r="876">
      <x:c r="A876" s="54"/>
      <x:c r="B876" s="60"/>
      <x:c r="C876" s="54"/>
      <x:c r="D876" s="57" t="str">
        <x:f>IF($C876="","",IFERROR(VLOOKUP($C876,'Leads'!$A$6:$C$505,3,FALSE),"Lead ID not found"))</x:f>
      </x:c>
      <x:c r="E876" s="54"/>
      <x:c r="F876" s="54"/>
      <x:c r="G876" s="63"/>
      <x:c r="H876" s="54"/>
      <x:c r="I876" s="60"/>
      <x:c r="J876" s="54"/>
      <x:c r="K876" s="54"/>
      <x:c r="L876" s="54"/>
      <x:c r="M876" s="63"/>
    </x:row>
    <x:row r="877">
      <x:c r="A877" s="54"/>
      <x:c r="B877" s="60"/>
      <x:c r="C877" s="54"/>
      <x:c r="D877" s="57" t="str">
        <x:f>IF($C877="","",IFERROR(VLOOKUP($C877,'Leads'!$A$6:$C$505,3,FALSE),"Lead ID not found"))</x:f>
      </x:c>
      <x:c r="E877" s="54"/>
      <x:c r="F877" s="54"/>
      <x:c r="G877" s="63"/>
      <x:c r="H877" s="54"/>
      <x:c r="I877" s="60"/>
      <x:c r="J877" s="54"/>
      <x:c r="K877" s="54"/>
      <x:c r="L877" s="54"/>
      <x:c r="M877" s="63"/>
    </x:row>
    <x:row r="878">
      <x:c r="A878" s="54"/>
      <x:c r="B878" s="60"/>
      <x:c r="C878" s="54"/>
      <x:c r="D878" s="57" t="str">
        <x:f>IF($C878="","",IFERROR(VLOOKUP($C878,'Leads'!$A$6:$C$505,3,FALSE),"Lead ID not found"))</x:f>
      </x:c>
      <x:c r="E878" s="54"/>
      <x:c r="F878" s="54"/>
      <x:c r="G878" s="63"/>
      <x:c r="H878" s="54"/>
      <x:c r="I878" s="60"/>
      <x:c r="J878" s="54"/>
      <x:c r="K878" s="54"/>
      <x:c r="L878" s="54"/>
      <x:c r="M878" s="63"/>
    </x:row>
    <x:row r="879">
      <x:c r="A879" s="54"/>
      <x:c r="B879" s="60"/>
      <x:c r="C879" s="54"/>
      <x:c r="D879" s="57" t="str">
        <x:f>IF($C879="","",IFERROR(VLOOKUP($C879,'Leads'!$A$6:$C$505,3,FALSE),"Lead ID not found"))</x:f>
      </x:c>
      <x:c r="E879" s="54"/>
      <x:c r="F879" s="54"/>
      <x:c r="G879" s="63"/>
      <x:c r="H879" s="54"/>
      <x:c r="I879" s="60"/>
      <x:c r="J879" s="54"/>
      <x:c r="K879" s="54"/>
      <x:c r="L879" s="54"/>
      <x:c r="M879" s="63"/>
    </x:row>
    <x:row r="880">
      <x:c r="A880" s="54"/>
      <x:c r="B880" s="60"/>
      <x:c r="C880" s="54"/>
      <x:c r="D880" s="57" t="str">
        <x:f>IF($C880="","",IFERROR(VLOOKUP($C880,'Leads'!$A$6:$C$505,3,FALSE),"Lead ID not found"))</x:f>
      </x:c>
      <x:c r="E880" s="54"/>
      <x:c r="F880" s="54"/>
      <x:c r="G880" s="63"/>
      <x:c r="H880" s="54"/>
      <x:c r="I880" s="60"/>
      <x:c r="J880" s="54"/>
      <x:c r="K880" s="54"/>
      <x:c r="L880" s="54"/>
      <x:c r="M880" s="63"/>
    </x:row>
    <x:row r="881">
      <x:c r="A881" s="54"/>
      <x:c r="B881" s="60"/>
      <x:c r="C881" s="54"/>
      <x:c r="D881" s="57" t="str">
        <x:f>IF($C881="","",IFERROR(VLOOKUP($C881,'Leads'!$A$6:$C$505,3,FALSE),"Lead ID not found"))</x:f>
      </x:c>
      <x:c r="E881" s="54"/>
      <x:c r="F881" s="54"/>
      <x:c r="G881" s="63"/>
      <x:c r="H881" s="54"/>
      <x:c r="I881" s="60"/>
      <x:c r="J881" s="54"/>
      <x:c r="K881" s="54"/>
      <x:c r="L881" s="54"/>
      <x:c r="M881" s="63"/>
    </x:row>
    <x:row r="882">
      <x:c r="A882" s="54"/>
      <x:c r="B882" s="60"/>
      <x:c r="C882" s="54"/>
      <x:c r="D882" s="57" t="str">
        <x:f>IF($C882="","",IFERROR(VLOOKUP($C882,'Leads'!$A$6:$C$505,3,FALSE),"Lead ID not found"))</x:f>
      </x:c>
      <x:c r="E882" s="54"/>
      <x:c r="F882" s="54"/>
      <x:c r="G882" s="63"/>
      <x:c r="H882" s="54"/>
      <x:c r="I882" s="60"/>
      <x:c r="J882" s="54"/>
      <x:c r="K882" s="54"/>
      <x:c r="L882" s="54"/>
      <x:c r="M882" s="63"/>
    </x:row>
    <x:row r="883">
      <x:c r="A883" s="54"/>
      <x:c r="B883" s="60"/>
      <x:c r="C883" s="54"/>
      <x:c r="D883" s="57" t="str">
        <x:f>IF($C883="","",IFERROR(VLOOKUP($C883,'Leads'!$A$6:$C$505,3,FALSE),"Lead ID not found"))</x:f>
      </x:c>
      <x:c r="E883" s="54"/>
      <x:c r="F883" s="54"/>
      <x:c r="G883" s="63"/>
      <x:c r="H883" s="54"/>
      <x:c r="I883" s="60"/>
      <x:c r="J883" s="54"/>
      <x:c r="K883" s="54"/>
      <x:c r="L883" s="54"/>
      <x:c r="M883" s="63"/>
    </x:row>
    <x:row r="884">
      <x:c r="A884" s="54"/>
      <x:c r="B884" s="60"/>
      <x:c r="C884" s="54"/>
      <x:c r="D884" s="57" t="str">
        <x:f>IF($C884="","",IFERROR(VLOOKUP($C884,'Leads'!$A$6:$C$505,3,FALSE),"Lead ID not found"))</x:f>
      </x:c>
      <x:c r="E884" s="54"/>
      <x:c r="F884" s="54"/>
      <x:c r="G884" s="63"/>
      <x:c r="H884" s="54"/>
      <x:c r="I884" s="60"/>
      <x:c r="J884" s="54"/>
      <x:c r="K884" s="54"/>
      <x:c r="L884" s="54"/>
      <x:c r="M884" s="63"/>
    </x:row>
    <x:row r="885">
      <x:c r="A885" s="54"/>
      <x:c r="B885" s="60"/>
      <x:c r="C885" s="54"/>
      <x:c r="D885" s="57" t="str">
        <x:f>IF($C885="","",IFERROR(VLOOKUP($C885,'Leads'!$A$6:$C$505,3,FALSE),"Lead ID not found"))</x:f>
      </x:c>
      <x:c r="E885" s="54"/>
      <x:c r="F885" s="54"/>
      <x:c r="G885" s="63"/>
      <x:c r="H885" s="54"/>
      <x:c r="I885" s="60"/>
      <x:c r="J885" s="54"/>
      <x:c r="K885" s="54"/>
      <x:c r="L885" s="54"/>
      <x:c r="M885" s="63"/>
    </x:row>
    <x:row r="886">
      <x:c r="A886" s="54"/>
      <x:c r="B886" s="60"/>
      <x:c r="C886" s="54"/>
      <x:c r="D886" s="57" t="str">
        <x:f>IF($C886="","",IFERROR(VLOOKUP($C886,'Leads'!$A$6:$C$505,3,FALSE),"Lead ID not found"))</x:f>
      </x:c>
      <x:c r="E886" s="54"/>
      <x:c r="F886" s="54"/>
      <x:c r="G886" s="63"/>
      <x:c r="H886" s="54"/>
      <x:c r="I886" s="60"/>
      <x:c r="J886" s="54"/>
      <x:c r="K886" s="54"/>
      <x:c r="L886" s="54"/>
      <x:c r="M886" s="63"/>
    </x:row>
    <x:row r="887">
      <x:c r="A887" s="54"/>
      <x:c r="B887" s="60"/>
      <x:c r="C887" s="54"/>
      <x:c r="D887" s="57" t="str">
        <x:f>IF($C887="","",IFERROR(VLOOKUP($C887,'Leads'!$A$6:$C$505,3,FALSE),"Lead ID not found"))</x:f>
      </x:c>
      <x:c r="E887" s="54"/>
      <x:c r="F887" s="54"/>
      <x:c r="G887" s="63"/>
      <x:c r="H887" s="54"/>
      <x:c r="I887" s="60"/>
      <x:c r="J887" s="54"/>
      <x:c r="K887" s="54"/>
      <x:c r="L887" s="54"/>
      <x:c r="M887" s="63"/>
    </x:row>
    <x:row r="888">
      <x:c r="A888" s="54"/>
      <x:c r="B888" s="60"/>
      <x:c r="C888" s="54"/>
      <x:c r="D888" s="57" t="str">
        <x:f>IF($C888="","",IFERROR(VLOOKUP($C888,'Leads'!$A$6:$C$505,3,FALSE),"Lead ID not found"))</x:f>
      </x:c>
      <x:c r="E888" s="54"/>
      <x:c r="F888" s="54"/>
      <x:c r="G888" s="63"/>
      <x:c r="H888" s="54"/>
      <x:c r="I888" s="60"/>
      <x:c r="J888" s="54"/>
      <x:c r="K888" s="54"/>
      <x:c r="L888" s="54"/>
      <x:c r="M888" s="63"/>
    </x:row>
    <x:row r="889">
      <x:c r="A889" s="54"/>
      <x:c r="B889" s="60"/>
      <x:c r="C889" s="54"/>
      <x:c r="D889" s="57" t="str">
        <x:f>IF($C889="","",IFERROR(VLOOKUP($C889,'Leads'!$A$6:$C$505,3,FALSE),"Lead ID not found"))</x:f>
      </x:c>
      <x:c r="E889" s="54"/>
      <x:c r="F889" s="54"/>
      <x:c r="G889" s="63"/>
      <x:c r="H889" s="54"/>
      <x:c r="I889" s="60"/>
      <x:c r="J889" s="54"/>
      <x:c r="K889" s="54"/>
      <x:c r="L889" s="54"/>
      <x:c r="M889" s="63"/>
    </x:row>
    <x:row r="890">
      <x:c r="A890" s="54"/>
      <x:c r="B890" s="60"/>
      <x:c r="C890" s="54"/>
      <x:c r="D890" s="57" t="str">
        <x:f>IF($C890="","",IFERROR(VLOOKUP($C890,'Leads'!$A$6:$C$505,3,FALSE),"Lead ID not found"))</x:f>
      </x:c>
      <x:c r="E890" s="54"/>
      <x:c r="F890" s="54"/>
      <x:c r="G890" s="63"/>
      <x:c r="H890" s="54"/>
      <x:c r="I890" s="60"/>
      <x:c r="J890" s="54"/>
      <x:c r="K890" s="54"/>
      <x:c r="L890" s="54"/>
      <x:c r="M890" s="63"/>
    </x:row>
    <x:row r="891">
      <x:c r="A891" s="54"/>
      <x:c r="B891" s="60"/>
      <x:c r="C891" s="54"/>
      <x:c r="D891" s="57" t="str">
        <x:f>IF($C891="","",IFERROR(VLOOKUP($C891,'Leads'!$A$6:$C$505,3,FALSE),"Lead ID not found"))</x:f>
      </x:c>
      <x:c r="E891" s="54"/>
      <x:c r="F891" s="54"/>
      <x:c r="G891" s="63"/>
      <x:c r="H891" s="54"/>
      <x:c r="I891" s="60"/>
      <x:c r="J891" s="54"/>
      <x:c r="K891" s="54"/>
      <x:c r="L891" s="54"/>
      <x:c r="M891" s="63"/>
    </x:row>
    <x:row r="892">
      <x:c r="A892" s="54"/>
      <x:c r="B892" s="60"/>
      <x:c r="C892" s="54"/>
      <x:c r="D892" s="57" t="str">
        <x:f>IF($C892="","",IFERROR(VLOOKUP($C892,'Leads'!$A$6:$C$505,3,FALSE),"Lead ID not found"))</x:f>
      </x:c>
      <x:c r="E892" s="54"/>
      <x:c r="F892" s="54"/>
      <x:c r="G892" s="63"/>
      <x:c r="H892" s="54"/>
      <x:c r="I892" s="60"/>
      <x:c r="J892" s="54"/>
      <x:c r="K892" s="54"/>
      <x:c r="L892" s="54"/>
      <x:c r="M892" s="63"/>
    </x:row>
    <x:row r="893">
      <x:c r="A893" s="54"/>
      <x:c r="B893" s="60"/>
      <x:c r="C893" s="54"/>
      <x:c r="D893" s="57" t="str">
        <x:f>IF($C893="","",IFERROR(VLOOKUP($C893,'Leads'!$A$6:$C$505,3,FALSE),"Lead ID not found"))</x:f>
      </x:c>
      <x:c r="E893" s="54"/>
      <x:c r="F893" s="54"/>
      <x:c r="G893" s="63"/>
      <x:c r="H893" s="54"/>
      <x:c r="I893" s="60"/>
      <x:c r="J893" s="54"/>
      <x:c r="K893" s="54"/>
      <x:c r="L893" s="54"/>
      <x:c r="M893" s="63"/>
    </x:row>
    <x:row r="894">
      <x:c r="A894" s="54"/>
      <x:c r="B894" s="60"/>
      <x:c r="C894" s="54"/>
      <x:c r="D894" s="57" t="str">
        <x:f>IF($C894="","",IFERROR(VLOOKUP($C894,'Leads'!$A$6:$C$505,3,FALSE),"Lead ID not found"))</x:f>
      </x:c>
      <x:c r="E894" s="54"/>
      <x:c r="F894" s="54"/>
      <x:c r="G894" s="63"/>
      <x:c r="H894" s="54"/>
      <x:c r="I894" s="60"/>
      <x:c r="J894" s="54"/>
      <x:c r="K894" s="54"/>
      <x:c r="L894" s="54"/>
      <x:c r="M894" s="63"/>
    </x:row>
    <x:row r="895">
      <x:c r="A895" s="54"/>
      <x:c r="B895" s="60"/>
      <x:c r="C895" s="54"/>
      <x:c r="D895" s="57" t="str">
        <x:f>IF($C895="","",IFERROR(VLOOKUP($C895,'Leads'!$A$6:$C$505,3,FALSE),"Lead ID not found"))</x:f>
      </x:c>
      <x:c r="E895" s="54"/>
      <x:c r="F895" s="54"/>
      <x:c r="G895" s="63"/>
      <x:c r="H895" s="54"/>
      <x:c r="I895" s="60"/>
      <x:c r="J895" s="54"/>
      <x:c r="K895" s="54"/>
      <x:c r="L895" s="54"/>
      <x:c r="M895" s="63"/>
    </x:row>
    <x:row r="896">
      <x:c r="A896" s="54"/>
      <x:c r="B896" s="60"/>
      <x:c r="C896" s="54"/>
      <x:c r="D896" s="57" t="str">
        <x:f>IF($C896="","",IFERROR(VLOOKUP($C896,'Leads'!$A$6:$C$505,3,FALSE),"Lead ID not found"))</x:f>
      </x:c>
      <x:c r="E896" s="54"/>
      <x:c r="F896" s="54"/>
      <x:c r="G896" s="63"/>
      <x:c r="H896" s="54"/>
      <x:c r="I896" s="60"/>
      <x:c r="J896" s="54"/>
      <x:c r="K896" s="54"/>
      <x:c r="L896" s="54"/>
      <x:c r="M896" s="63"/>
    </x:row>
    <x:row r="897">
      <x:c r="A897" s="54"/>
      <x:c r="B897" s="60"/>
      <x:c r="C897" s="54"/>
      <x:c r="D897" s="57" t="str">
        <x:f>IF($C897="","",IFERROR(VLOOKUP($C897,'Leads'!$A$6:$C$505,3,FALSE),"Lead ID not found"))</x:f>
      </x:c>
      <x:c r="E897" s="54"/>
      <x:c r="F897" s="54"/>
      <x:c r="G897" s="63"/>
      <x:c r="H897" s="54"/>
      <x:c r="I897" s="60"/>
      <x:c r="J897" s="54"/>
      <x:c r="K897" s="54"/>
      <x:c r="L897" s="54"/>
      <x:c r="M897" s="63"/>
    </x:row>
    <x:row r="898">
      <x:c r="A898" s="54"/>
      <x:c r="B898" s="60"/>
      <x:c r="C898" s="54"/>
      <x:c r="D898" s="57" t="str">
        <x:f>IF($C898="","",IFERROR(VLOOKUP($C898,'Leads'!$A$6:$C$505,3,FALSE),"Lead ID not found"))</x:f>
      </x:c>
      <x:c r="E898" s="54"/>
      <x:c r="F898" s="54"/>
      <x:c r="G898" s="63"/>
      <x:c r="H898" s="54"/>
      <x:c r="I898" s="60"/>
      <x:c r="J898" s="54"/>
      <x:c r="K898" s="54"/>
      <x:c r="L898" s="54"/>
      <x:c r="M898" s="63"/>
    </x:row>
    <x:row r="899">
      <x:c r="A899" s="54"/>
      <x:c r="B899" s="60"/>
      <x:c r="C899" s="54"/>
      <x:c r="D899" s="57" t="str">
        <x:f>IF($C899="","",IFERROR(VLOOKUP($C899,'Leads'!$A$6:$C$505,3,FALSE),"Lead ID not found"))</x:f>
      </x:c>
      <x:c r="E899" s="54"/>
      <x:c r="F899" s="54"/>
      <x:c r="G899" s="63"/>
      <x:c r="H899" s="54"/>
      <x:c r="I899" s="60"/>
      <x:c r="J899" s="54"/>
      <x:c r="K899" s="54"/>
      <x:c r="L899" s="54"/>
      <x:c r="M899" s="63"/>
    </x:row>
    <x:row r="900">
      <x:c r="A900" s="54"/>
      <x:c r="B900" s="60"/>
      <x:c r="C900" s="54"/>
      <x:c r="D900" s="57" t="str">
        <x:f>IF($C900="","",IFERROR(VLOOKUP($C900,'Leads'!$A$6:$C$505,3,FALSE),"Lead ID not found"))</x:f>
      </x:c>
      <x:c r="E900" s="54"/>
      <x:c r="F900" s="54"/>
      <x:c r="G900" s="63"/>
      <x:c r="H900" s="54"/>
      <x:c r="I900" s="60"/>
      <x:c r="J900" s="54"/>
      <x:c r="K900" s="54"/>
      <x:c r="L900" s="54"/>
      <x:c r="M900" s="63"/>
    </x:row>
    <x:row r="901">
      <x:c r="A901" s="54"/>
      <x:c r="B901" s="60"/>
      <x:c r="C901" s="54"/>
      <x:c r="D901" s="57" t="str">
        <x:f>IF($C901="","",IFERROR(VLOOKUP($C901,'Leads'!$A$6:$C$505,3,FALSE),"Lead ID not found"))</x:f>
      </x:c>
      <x:c r="E901" s="54"/>
      <x:c r="F901" s="54"/>
      <x:c r="G901" s="63"/>
      <x:c r="H901" s="54"/>
      <x:c r="I901" s="60"/>
      <x:c r="J901" s="54"/>
      <x:c r="K901" s="54"/>
      <x:c r="L901" s="54"/>
      <x:c r="M901" s="63"/>
    </x:row>
    <x:row r="902">
      <x:c r="A902" s="54"/>
      <x:c r="B902" s="60"/>
      <x:c r="C902" s="54"/>
      <x:c r="D902" s="57" t="str">
        <x:f>IF($C902="","",IFERROR(VLOOKUP($C902,'Leads'!$A$6:$C$505,3,FALSE),"Lead ID not found"))</x:f>
      </x:c>
      <x:c r="E902" s="54"/>
      <x:c r="F902" s="54"/>
      <x:c r="G902" s="63"/>
      <x:c r="H902" s="54"/>
      <x:c r="I902" s="60"/>
      <x:c r="J902" s="54"/>
      <x:c r="K902" s="54"/>
      <x:c r="L902" s="54"/>
      <x:c r="M902" s="63"/>
    </x:row>
    <x:row r="903">
      <x:c r="A903" s="54"/>
      <x:c r="B903" s="60"/>
      <x:c r="C903" s="54"/>
      <x:c r="D903" s="57" t="str">
        <x:f>IF($C903="","",IFERROR(VLOOKUP($C903,'Leads'!$A$6:$C$505,3,FALSE),"Lead ID not found"))</x:f>
      </x:c>
      <x:c r="E903" s="54"/>
      <x:c r="F903" s="54"/>
      <x:c r="G903" s="63"/>
      <x:c r="H903" s="54"/>
      <x:c r="I903" s="60"/>
      <x:c r="J903" s="54"/>
      <x:c r="K903" s="54"/>
      <x:c r="L903" s="54"/>
      <x:c r="M903" s="63"/>
    </x:row>
    <x:row r="904">
      <x:c r="A904" s="54"/>
      <x:c r="B904" s="60"/>
      <x:c r="C904" s="54"/>
      <x:c r="D904" s="57" t="str">
        <x:f>IF($C904="","",IFERROR(VLOOKUP($C904,'Leads'!$A$6:$C$505,3,FALSE),"Lead ID not found"))</x:f>
      </x:c>
      <x:c r="E904" s="54"/>
      <x:c r="F904" s="54"/>
      <x:c r="G904" s="63"/>
      <x:c r="H904" s="54"/>
      <x:c r="I904" s="60"/>
      <x:c r="J904" s="54"/>
      <x:c r="K904" s="54"/>
      <x:c r="L904" s="54"/>
      <x:c r="M904" s="63"/>
    </x:row>
    <x:row r="905">
      <x:c r="A905" s="54"/>
      <x:c r="B905" s="60"/>
      <x:c r="C905" s="54"/>
      <x:c r="D905" s="57" t="str">
        <x:f>IF($C905="","",IFERROR(VLOOKUP($C905,'Leads'!$A$6:$C$505,3,FALSE),"Lead ID not found"))</x:f>
      </x:c>
      <x:c r="E905" s="54"/>
      <x:c r="F905" s="54"/>
      <x:c r="G905" s="63"/>
      <x:c r="H905" s="54"/>
      <x:c r="I905" s="60"/>
      <x:c r="J905" s="54"/>
      <x:c r="K905" s="54"/>
      <x:c r="L905" s="54"/>
      <x:c r="M905" s="63"/>
    </x:row>
    <x:row r="906">
      <x:c r="A906" s="54"/>
      <x:c r="B906" s="60"/>
      <x:c r="C906" s="54"/>
      <x:c r="D906" s="57" t="str">
        <x:f>IF($C906="","",IFERROR(VLOOKUP($C906,'Leads'!$A$6:$C$505,3,FALSE),"Lead ID not found"))</x:f>
      </x:c>
      <x:c r="E906" s="54"/>
      <x:c r="F906" s="54"/>
      <x:c r="G906" s="63"/>
      <x:c r="H906" s="54"/>
      <x:c r="I906" s="60"/>
      <x:c r="J906" s="54"/>
      <x:c r="K906" s="54"/>
      <x:c r="L906" s="54"/>
      <x:c r="M906" s="63"/>
    </x:row>
    <x:row r="907">
      <x:c r="A907" s="54"/>
      <x:c r="B907" s="60"/>
      <x:c r="C907" s="54"/>
      <x:c r="D907" s="57" t="str">
        <x:f>IF($C907="","",IFERROR(VLOOKUP($C907,'Leads'!$A$6:$C$505,3,FALSE),"Lead ID not found"))</x:f>
      </x:c>
      <x:c r="E907" s="54"/>
      <x:c r="F907" s="54"/>
      <x:c r="G907" s="63"/>
      <x:c r="H907" s="54"/>
      <x:c r="I907" s="60"/>
      <x:c r="J907" s="54"/>
      <x:c r="K907" s="54"/>
      <x:c r="L907" s="54"/>
      <x:c r="M907" s="63"/>
    </x:row>
    <x:row r="908">
      <x:c r="A908" s="54"/>
      <x:c r="B908" s="60"/>
      <x:c r="C908" s="54"/>
      <x:c r="D908" s="57" t="str">
        <x:f>IF($C908="","",IFERROR(VLOOKUP($C908,'Leads'!$A$6:$C$505,3,FALSE),"Lead ID not found"))</x:f>
      </x:c>
      <x:c r="E908" s="54"/>
      <x:c r="F908" s="54"/>
      <x:c r="G908" s="63"/>
      <x:c r="H908" s="54"/>
      <x:c r="I908" s="60"/>
      <x:c r="J908" s="54"/>
      <x:c r="K908" s="54"/>
      <x:c r="L908" s="54"/>
      <x:c r="M908" s="63"/>
    </x:row>
    <x:row r="909">
      <x:c r="A909" s="54"/>
      <x:c r="B909" s="60"/>
      <x:c r="C909" s="54"/>
      <x:c r="D909" s="57" t="str">
        <x:f>IF($C909="","",IFERROR(VLOOKUP($C909,'Leads'!$A$6:$C$505,3,FALSE),"Lead ID not found"))</x:f>
      </x:c>
      <x:c r="E909" s="54"/>
      <x:c r="F909" s="54"/>
      <x:c r="G909" s="63"/>
      <x:c r="H909" s="54"/>
      <x:c r="I909" s="60"/>
      <x:c r="J909" s="54"/>
      <x:c r="K909" s="54"/>
      <x:c r="L909" s="54"/>
      <x:c r="M909" s="63"/>
    </x:row>
    <x:row r="910">
      <x:c r="A910" s="54"/>
      <x:c r="B910" s="60"/>
      <x:c r="C910" s="54"/>
      <x:c r="D910" s="57" t="str">
        <x:f>IF($C910="","",IFERROR(VLOOKUP($C910,'Leads'!$A$6:$C$505,3,FALSE),"Lead ID not found"))</x:f>
      </x:c>
      <x:c r="E910" s="54"/>
      <x:c r="F910" s="54"/>
      <x:c r="G910" s="63"/>
      <x:c r="H910" s="54"/>
      <x:c r="I910" s="60"/>
      <x:c r="J910" s="54"/>
      <x:c r="K910" s="54"/>
      <x:c r="L910" s="54"/>
      <x:c r="M910" s="63"/>
    </x:row>
    <x:row r="911">
      <x:c r="A911" s="54"/>
      <x:c r="B911" s="60"/>
      <x:c r="C911" s="54"/>
      <x:c r="D911" s="57" t="str">
        <x:f>IF($C911="","",IFERROR(VLOOKUP($C911,'Leads'!$A$6:$C$505,3,FALSE),"Lead ID not found"))</x:f>
      </x:c>
      <x:c r="E911" s="54"/>
      <x:c r="F911" s="54"/>
      <x:c r="G911" s="63"/>
      <x:c r="H911" s="54"/>
      <x:c r="I911" s="60"/>
      <x:c r="J911" s="54"/>
      <x:c r="K911" s="54"/>
      <x:c r="L911" s="54"/>
      <x:c r="M911" s="63"/>
    </x:row>
    <x:row r="912">
      <x:c r="A912" s="54"/>
      <x:c r="B912" s="60"/>
      <x:c r="C912" s="54"/>
      <x:c r="D912" s="57" t="str">
        <x:f>IF($C912="","",IFERROR(VLOOKUP($C912,'Leads'!$A$6:$C$505,3,FALSE),"Lead ID not found"))</x:f>
      </x:c>
      <x:c r="E912" s="54"/>
      <x:c r="F912" s="54"/>
      <x:c r="G912" s="63"/>
      <x:c r="H912" s="54"/>
      <x:c r="I912" s="60"/>
      <x:c r="J912" s="54"/>
      <x:c r="K912" s="54"/>
      <x:c r="L912" s="54"/>
      <x:c r="M912" s="63"/>
    </x:row>
    <x:row r="913">
      <x:c r="A913" s="54"/>
      <x:c r="B913" s="60"/>
      <x:c r="C913" s="54"/>
      <x:c r="D913" s="57" t="str">
        <x:f>IF($C913="","",IFERROR(VLOOKUP($C913,'Leads'!$A$6:$C$505,3,FALSE),"Lead ID not found"))</x:f>
      </x:c>
      <x:c r="E913" s="54"/>
      <x:c r="F913" s="54"/>
      <x:c r="G913" s="63"/>
      <x:c r="H913" s="54"/>
      <x:c r="I913" s="60"/>
      <x:c r="J913" s="54"/>
      <x:c r="K913" s="54"/>
      <x:c r="L913" s="54"/>
      <x:c r="M913" s="63"/>
    </x:row>
    <x:row r="914">
      <x:c r="A914" s="54"/>
      <x:c r="B914" s="60"/>
      <x:c r="C914" s="54"/>
      <x:c r="D914" s="57" t="str">
        <x:f>IF($C914="","",IFERROR(VLOOKUP($C914,'Leads'!$A$6:$C$505,3,FALSE),"Lead ID not found"))</x:f>
      </x:c>
      <x:c r="E914" s="54"/>
      <x:c r="F914" s="54"/>
      <x:c r="G914" s="63"/>
      <x:c r="H914" s="54"/>
      <x:c r="I914" s="60"/>
      <x:c r="J914" s="54"/>
      <x:c r="K914" s="54"/>
      <x:c r="L914" s="54"/>
      <x:c r="M914" s="63"/>
    </x:row>
    <x:row r="915">
      <x:c r="A915" s="54"/>
      <x:c r="B915" s="60"/>
      <x:c r="C915" s="54"/>
      <x:c r="D915" s="57" t="str">
        <x:f>IF($C915="","",IFERROR(VLOOKUP($C915,'Leads'!$A$6:$C$505,3,FALSE),"Lead ID not found"))</x:f>
      </x:c>
      <x:c r="E915" s="54"/>
      <x:c r="F915" s="54"/>
      <x:c r="G915" s="63"/>
      <x:c r="H915" s="54"/>
      <x:c r="I915" s="60"/>
      <x:c r="J915" s="54"/>
      <x:c r="K915" s="54"/>
      <x:c r="L915" s="54"/>
      <x:c r="M915" s="63"/>
    </x:row>
    <x:row r="916">
      <x:c r="A916" s="54"/>
      <x:c r="B916" s="60"/>
      <x:c r="C916" s="54"/>
      <x:c r="D916" s="57" t="str">
        <x:f>IF($C916="","",IFERROR(VLOOKUP($C916,'Leads'!$A$6:$C$505,3,FALSE),"Lead ID not found"))</x:f>
      </x:c>
      <x:c r="E916" s="54"/>
      <x:c r="F916" s="54"/>
      <x:c r="G916" s="63"/>
      <x:c r="H916" s="54"/>
      <x:c r="I916" s="60"/>
      <x:c r="J916" s="54"/>
      <x:c r="K916" s="54"/>
      <x:c r="L916" s="54"/>
      <x:c r="M916" s="63"/>
    </x:row>
    <x:row r="917">
      <x:c r="A917" s="54"/>
      <x:c r="B917" s="60"/>
      <x:c r="C917" s="54"/>
      <x:c r="D917" s="57" t="str">
        <x:f>IF($C917="","",IFERROR(VLOOKUP($C917,'Leads'!$A$6:$C$505,3,FALSE),"Lead ID not found"))</x:f>
      </x:c>
      <x:c r="E917" s="54"/>
      <x:c r="F917" s="54"/>
      <x:c r="G917" s="63"/>
      <x:c r="H917" s="54"/>
      <x:c r="I917" s="60"/>
      <x:c r="J917" s="54"/>
      <x:c r="K917" s="54"/>
      <x:c r="L917" s="54"/>
      <x:c r="M917" s="63"/>
    </x:row>
    <x:row r="918">
      <x:c r="A918" s="54"/>
      <x:c r="B918" s="60"/>
      <x:c r="C918" s="54"/>
      <x:c r="D918" s="57" t="str">
        <x:f>IF($C918="","",IFERROR(VLOOKUP($C918,'Leads'!$A$6:$C$505,3,FALSE),"Lead ID not found"))</x:f>
      </x:c>
      <x:c r="E918" s="54"/>
      <x:c r="F918" s="54"/>
      <x:c r="G918" s="63"/>
      <x:c r="H918" s="54"/>
      <x:c r="I918" s="60"/>
      <x:c r="J918" s="54"/>
      <x:c r="K918" s="54"/>
      <x:c r="L918" s="54"/>
      <x:c r="M918" s="63"/>
    </x:row>
    <x:row r="919">
      <x:c r="A919" s="54"/>
      <x:c r="B919" s="60"/>
      <x:c r="C919" s="54"/>
      <x:c r="D919" s="57" t="str">
        <x:f>IF($C919="","",IFERROR(VLOOKUP($C919,'Leads'!$A$6:$C$505,3,FALSE),"Lead ID not found"))</x:f>
      </x:c>
      <x:c r="E919" s="54"/>
      <x:c r="F919" s="54"/>
      <x:c r="G919" s="63"/>
      <x:c r="H919" s="54"/>
      <x:c r="I919" s="60"/>
      <x:c r="J919" s="54"/>
      <x:c r="K919" s="54"/>
      <x:c r="L919" s="54"/>
      <x:c r="M919" s="63"/>
    </x:row>
    <x:row r="920">
      <x:c r="A920" s="54"/>
      <x:c r="B920" s="60"/>
      <x:c r="C920" s="54"/>
      <x:c r="D920" s="57" t="str">
        <x:f>IF($C920="","",IFERROR(VLOOKUP($C920,'Leads'!$A$6:$C$505,3,FALSE),"Lead ID not found"))</x:f>
      </x:c>
      <x:c r="E920" s="54"/>
      <x:c r="F920" s="54"/>
      <x:c r="G920" s="63"/>
      <x:c r="H920" s="54"/>
      <x:c r="I920" s="60"/>
      <x:c r="J920" s="54"/>
      <x:c r="K920" s="54"/>
      <x:c r="L920" s="54"/>
      <x:c r="M920" s="63"/>
    </x:row>
    <x:row r="921">
      <x:c r="A921" s="54"/>
      <x:c r="B921" s="60"/>
      <x:c r="C921" s="54"/>
      <x:c r="D921" s="57" t="str">
        <x:f>IF($C921="","",IFERROR(VLOOKUP($C921,'Leads'!$A$6:$C$505,3,FALSE),"Lead ID not found"))</x:f>
      </x:c>
      <x:c r="E921" s="54"/>
      <x:c r="F921" s="54"/>
      <x:c r="G921" s="63"/>
      <x:c r="H921" s="54"/>
      <x:c r="I921" s="60"/>
      <x:c r="J921" s="54"/>
      <x:c r="K921" s="54"/>
      <x:c r="L921" s="54"/>
      <x:c r="M921" s="63"/>
    </x:row>
    <x:row r="922">
      <x:c r="A922" s="54"/>
      <x:c r="B922" s="60"/>
      <x:c r="C922" s="54"/>
      <x:c r="D922" s="57" t="str">
        <x:f>IF($C922="","",IFERROR(VLOOKUP($C922,'Leads'!$A$6:$C$505,3,FALSE),"Lead ID not found"))</x:f>
      </x:c>
      <x:c r="E922" s="54"/>
      <x:c r="F922" s="54"/>
      <x:c r="G922" s="63"/>
      <x:c r="H922" s="54"/>
      <x:c r="I922" s="60"/>
      <x:c r="J922" s="54"/>
      <x:c r="K922" s="54"/>
      <x:c r="L922" s="54"/>
      <x:c r="M922" s="63"/>
    </x:row>
    <x:row r="923">
      <x:c r="A923" s="54"/>
      <x:c r="B923" s="60"/>
      <x:c r="C923" s="54"/>
      <x:c r="D923" s="57" t="str">
        <x:f>IF($C923="","",IFERROR(VLOOKUP($C923,'Leads'!$A$6:$C$505,3,FALSE),"Lead ID not found"))</x:f>
      </x:c>
      <x:c r="E923" s="54"/>
      <x:c r="F923" s="54"/>
      <x:c r="G923" s="63"/>
      <x:c r="H923" s="54"/>
      <x:c r="I923" s="60"/>
      <x:c r="J923" s="54"/>
      <x:c r="K923" s="54"/>
      <x:c r="L923" s="54"/>
      <x:c r="M923" s="63"/>
    </x:row>
    <x:row r="924">
      <x:c r="A924" s="54"/>
      <x:c r="B924" s="60"/>
      <x:c r="C924" s="54"/>
      <x:c r="D924" s="57" t="str">
        <x:f>IF($C924="","",IFERROR(VLOOKUP($C924,'Leads'!$A$6:$C$505,3,FALSE),"Lead ID not found"))</x:f>
      </x:c>
      <x:c r="E924" s="54"/>
      <x:c r="F924" s="54"/>
      <x:c r="G924" s="63"/>
      <x:c r="H924" s="54"/>
      <x:c r="I924" s="60"/>
      <x:c r="J924" s="54"/>
      <x:c r="K924" s="54"/>
      <x:c r="L924" s="54"/>
      <x:c r="M924" s="63"/>
    </x:row>
    <x:row r="925">
      <x:c r="A925" s="54"/>
      <x:c r="B925" s="60"/>
      <x:c r="C925" s="54"/>
      <x:c r="D925" s="57" t="str">
        <x:f>IF($C925="","",IFERROR(VLOOKUP($C925,'Leads'!$A$6:$C$505,3,FALSE),"Lead ID not found"))</x:f>
      </x:c>
      <x:c r="E925" s="54"/>
      <x:c r="F925" s="54"/>
      <x:c r="G925" s="63"/>
      <x:c r="H925" s="54"/>
      <x:c r="I925" s="60"/>
      <x:c r="J925" s="54"/>
      <x:c r="K925" s="54"/>
      <x:c r="L925" s="54"/>
      <x:c r="M925" s="63"/>
    </x:row>
    <x:row r="926">
      <x:c r="A926" s="54"/>
      <x:c r="B926" s="60"/>
      <x:c r="C926" s="54"/>
      <x:c r="D926" s="57" t="str">
        <x:f>IF($C926="","",IFERROR(VLOOKUP($C926,'Leads'!$A$6:$C$505,3,FALSE),"Lead ID not found"))</x:f>
      </x:c>
      <x:c r="E926" s="54"/>
      <x:c r="F926" s="54"/>
      <x:c r="G926" s="63"/>
      <x:c r="H926" s="54"/>
      <x:c r="I926" s="60"/>
      <x:c r="J926" s="54"/>
      <x:c r="K926" s="54"/>
      <x:c r="L926" s="54"/>
      <x:c r="M926" s="63"/>
    </x:row>
    <x:row r="927">
      <x:c r="A927" s="54"/>
      <x:c r="B927" s="60"/>
      <x:c r="C927" s="54"/>
      <x:c r="D927" s="57" t="str">
        <x:f>IF($C927="","",IFERROR(VLOOKUP($C927,'Leads'!$A$6:$C$505,3,FALSE),"Lead ID not found"))</x:f>
      </x:c>
      <x:c r="E927" s="54"/>
      <x:c r="F927" s="54"/>
      <x:c r="G927" s="63"/>
      <x:c r="H927" s="54"/>
      <x:c r="I927" s="60"/>
      <x:c r="J927" s="54"/>
      <x:c r="K927" s="54"/>
      <x:c r="L927" s="54"/>
      <x:c r="M927" s="63"/>
    </x:row>
    <x:row r="928">
      <x:c r="A928" s="54"/>
      <x:c r="B928" s="60"/>
      <x:c r="C928" s="54"/>
      <x:c r="D928" s="57" t="str">
        <x:f>IF($C928="","",IFERROR(VLOOKUP($C928,'Leads'!$A$6:$C$505,3,FALSE),"Lead ID not found"))</x:f>
      </x:c>
      <x:c r="E928" s="54"/>
      <x:c r="F928" s="54"/>
      <x:c r="G928" s="63"/>
      <x:c r="H928" s="54"/>
      <x:c r="I928" s="60"/>
      <x:c r="J928" s="54"/>
      <x:c r="K928" s="54"/>
      <x:c r="L928" s="54"/>
      <x:c r="M928" s="63"/>
    </x:row>
    <x:row r="929">
      <x:c r="A929" s="54"/>
      <x:c r="B929" s="60"/>
      <x:c r="C929" s="54"/>
      <x:c r="D929" s="57" t="str">
        <x:f>IF($C929="","",IFERROR(VLOOKUP($C929,'Leads'!$A$6:$C$505,3,FALSE),"Lead ID not found"))</x:f>
      </x:c>
      <x:c r="E929" s="54"/>
      <x:c r="F929" s="54"/>
      <x:c r="G929" s="63"/>
      <x:c r="H929" s="54"/>
      <x:c r="I929" s="60"/>
      <x:c r="J929" s="54"/>
      <x:c r="K929" s="54"/>
      <x:c r="L929" s="54"/>
      <x:c r="M929" s="63"/>
    </x:row>
    <x:row r="930">
      <x:c r="A930" s="54"/>
      <x:c r="B930" s="60"/>
      <x:c r="C930" s="54"/>
      <x:c r="D930" s="57" t="str">
        <x:f>IF($C930="","",IFERROR(VLOOKUP($C930,'Leads'!$A$6:$C$505,3,FALSE),"Lead ID not found"))</x:f>
      </x:c>
      <x:c r="E930" s="54"/>
      <x:c r="F930" s="54"/>
      <x:c r="G930" s="63"/>
      <x:c r="H930" s="54"/>
      <x:c r="I930" s="60"/>
      <x:c r="J930" s="54"/>
      <x:c r="K930" s="54"/>
      <x:c r="L930" s="54"/>
      <x:c r="M930" s="63"/>
    </x:row>
    <x:row r="931">
      <x:c r="A931" s="54"/>
      <x:c r="B931" s="60"/>
      <x:c r="C931" s="54"/>
      <x:c r="D931" s="57" t="str">
        <x:f>IF($C931="","",IFERROR(VLOOKUP($C931,'Leads'!$A$6:$C$505,3,FALSE),"Lead ID not found"))</x:f>
      </x:c>
      <x:c r="E931" s="54"/>
      <x:c r="F931" s="54"/>
      <x:c r="G931" s="63"/>
      <x:c r="H931" s="54"/>
      <x:c r="I931" s="60"/>
      <x:c r="J931" s="54"/>
      <x:c r="K931" s="54"/>
      <x:c r="L931" s="54"/>
      <x:c r="M931" s="63"/>
    </x:row>
    <x:row r="932">
      <x:c r="A932" s="54"/>
      <x:c r="B932" s="60"/>
      <x:c r="C932" s="54"/>
      <x:c r="D932" s="57" t="str">
        <x:f>IF($C932="","",IFERROR(VLOOKUP($C932,'Leads'!$A$6:$C$505,3,FALSE),"Lead ID not found"))</x:f>
      </x:c>
      <x:c r="E932" s="54"/>
      <x:c r="F932" s="54"/>
      <x:c r="G932" s="63"/>
      <x:c r="H932" s="54"/>
      <x:c r="I932" s="60"/>
      <x:c r="J932" s="54"/>
      <x:c r="K932" s="54"/>
      <x:c r="L932" s="54"/>
      <x:c r="M932" s="63"/>
    </x:row>
    <x:row r="933">
      <x:c r="A933" s="54"/>
      <x:c r="B933" s="60"/>
      <x:c r="C933" s="54"/>
      <x:c r="D933" s="57" t="str">
        <x:f>IF($C933="","",IFERROR(VLOOKUP($C933,'Leads'!$A$6:$C$505,3,FALSE),"Lead ID not found"))</x:f>
      </x:c>
      <x:c r="E933" s="54"/>
      <x:c r="F933" s="54"/>
      <x:c r="G933" s="63"/>
      <x:c r="H933" s="54"/>
      <x:c r="I933" s="60"/>
      <x:c r="J933" s="54"/>
      <x:c r="K933" s="54"/>
      <x:c r="L933" s="54"/>
      <x:c r="M933" s="63"/>
    </x:row>
    <x:row r="934">
      <x:c r="A934" s="54"/>
      <x:c r="B934" s="60"/>
      <x:c r="C934" s="54"/>
      <x:c r="D934" s="57" t="str">
        <x:f>IF($C934="","",IFERROR(VLOOKUP($C934,'Leads'!$A$6:$C$505,3,FALSE),"Lead ID not found"))</x:f>
      </x:c>
      <x:c r="E934" s="54"/>
      <x:c r="F934" s="54"/>
      <x:c r="G934" s="63"/>
      <x:c r="H934" s="54"/>
      <x:c r="I934" s="60"/>
      <x:c r="J934" s="54"/>
      <x:c r="K934" s="54"/>
      <x:c r="L934" s="54"/>
      <x:c r="M934" s="63"/>
    </x:row>
    <x:row r="935">
      <x:c r="A935" s="54"/>
      <x:c r="B935" s="60"/>
      <x:c r="C935" s="54"/>
      <x:c r="D935" s="57" t="str">
        <x:f>IF($C935="","",IFERROR(VLOOKUP($C935,'Leads'!$A$6:$C$505,3,FALSE),"Lead ID not found"))</x:f>
      </x:c>
      <x:c r="E935" s="54"/>
      <x:c r="F935" s="54"/>
      <x:c r="G935" s="63"/>
      <x:c r="H935" s="54"/>
      <x:c r="I935" s="60"/>
      <x:c r="J935" s="54"/>
      <x:c r="K935" s="54"/>
      <x:c r="L935" s="54"/>
      <x:c r="M935" s="63"/>
    </x:row>
    <x:row r="936">
      <x:c r="A936" s="54"/>
      <x:c r="B936" s="60"/>
      <x:c r="C936" s="54"/>
      <x:c r="D936" s="57" t="str">
        <x:f>IF($C936="","",IFERROR(VLOOKUP($C936,'Leads'!$A$6:$C$505,3,FALSE),"Lead ID not found"))</x:f>
      </x:c>
      <x:c r="E936" s="54"/>
      <x:c r="F936" s="54"/>
      <x:c r="G936" s="63"/>
      <x:c r="H936" s="54"/>
      <x:c r="I936" s="60"/>
      <x:c r="J936" s="54"/>
      <x:c r="K936" s="54"/>
      <x:c r="L936" s="54"/>
      <x:c r="M936" s="63"/>
    </x:row>
    <x:row r="937">
      <x:c r="A937" s="54"/>
      <x:c r="B937" s="60"/>
      <x:c r="C937" s="54"/>
      <x:c r="D937" s="57" t="str">
        <x:f>IF($C937="","",IFERROR(VLOOKUP($C937,'Leads'!$A$6:$C$505,3,FALSE),"Lead ID not found"))</x:f>
      </x:c>
      <x:c r="E937" s="54"/>
      <x:c r="F937" s="54"/>
      <x:c r="G937" s="63"/>
      <x:c r="H937" s="54"/>
      <x:c r="I937" s="60"/>
      <x:c r="J937" s="54"/>
      <x:c r="K937" s="54"/>
      <x:c r="L937" s="54"/>
      <x:c r="M937" s="63"/>
    </x:row>
    <x:row r="938">
      <x:c r="A938" s="54"/>
      <x:c r="B938" s="60"/>
      <x:c r="C938" s="54"/>
      <x:c r="D938" s="57" t="str">
        <x:f>IF($C938="","",IFERROR(VLOOKUP($C938,'Leads'!$A$6:$C$505,3,FALSE),"Lead ID not found"))</x:f>
      </x:c>
      <x:c r="E938" s="54"/>
      <x:c r="F938" s="54"/>
      <x:c r="G938" s="63"/>
      <x:c r="H938" s="54"/>
      <x:c r="I938" s="60"/>
      <x:c r="J938" s="54"/>
      <x:c r="K938" s="54"/>
      <x:c r="L938" s="54"/>
      <x:c r="M938" s="63"/>
    </x:row>
    <x:row r="939">
      <x:c r="A939" s="54"/>
      <x:c r="B939" s="60"/>
      <x:c r="C939" s="54"/>
      <x:c r="D939" s="57" t="str">
        <x:f>IF($C939="","",IFERROR(VLOOKUP($C939,'Leads'!$A$6:$C$505,3,FALSE),"Lead ID not found"))</x:f>
      </x:c>
      <x:c r="E939" s="54"/>
      <x:c r="F939" s="54"/>
      <x:c r="G939" s="63"/>
      <x:c r="H939" s="54"/>
      <x:c r="I939" s="60"/>
      <x:c r="J939" s="54"/>
      <x:c r="K939" s="54"/>
      <x:c r="L939" s="54"/>
      <x:c r="M939" s="63"/>
    </x:row>
    <x:row r="940">
      <x:c r="A940" s="54"/>
      <x:c r="B940" s="60"/>
      <x:c r="C940" s="54"/>
      <x:c r="D940" s="57" t="str">
        <x:f>IF($C940="","",IFERROR(VLOOKUP($C940,'Leads'!$A$6:$C$505,3,FALSE),"Lead ID not found"))</x:f>
      </x:c>
      <x:c r="E940" s="54"/>
      <x:c r="F940" s="54"/>
      <x:c r="G940" s="63"/>
      <x:c r="H940" s="54"/>
      <x:c r="I940" s="60"/>
      <x:c r="J940" s="54"/>
      <x:c r="K940" s="54"/>
      <x:c r="L940" s="54"/>
      <x:c r="M940" s="63"/>
    </x:row>
    <x:row r="941">
      <x:c r="A941" s="54"/>
      <x:c r="B941" s="60"/>
      <x:c r="C941" s="54"/>
      <x:c r="D941" s="57" t="str">
        <x:f>IF($C941="","",IFERROR(VLOOKUP($C941,'Leads'!$A$6:$C$505,3,FALSE),"Lead ID not found"))</x:f>
      </x:c>
      <x:c r="E941" s="54"/>
      <x:c r="F941" s="54"/>
      <x:c r="G941" s="63"/>
      <x:c r="H941" s="54"/>
      <x:c r="I941" s="60"/>
      <x:c r="J941" s="54"/>
      <x:c r="K941" s="54"/>
      <x:c r="L941" s="54"/>
      <x:c r="M941" s="63"/>
    </x:row>
    <x:row r="942">
      <x:c r="A942" s="54"/>
      <x:c r="B942" s="60"/>
      <x:c r="C942" s="54"/>
      <x:c r="D942" s="57" t="str">
        <x:f>IF($C942="","",IFERROR(VLOOKUP($C942,'Leads'!$A$6:$C$505,3,FALSE),"Lead ID not found"))</x:f>
      </x:c>
      <x:c r="E942" s="54"/>
      <x:c r="F942" s="54"/>
      <x:c r="G942" s="63"/>
      <x:c r="H942" s="54"/>
      <x:c r="I942" s="60"/>
      <x:c r="J942" s="54"/>
      <x:c r="K942" s="54"/>
      <x:c r="L942" s="54"/>
      <x:c r="M942" s="63"/>
    </x:row>
    <x:row r="943">
      <x:c r="A943" s="54"/>
      <x:c r="B943" s="60"/>
      <x:c r="C943" s="54"/>
      <x:c r="D943" s="57" t="str">
        <x:f>IF($C943="","",IFERROR(VLOOKUP($C943,'Leads'!$A$6:$C$505,3,FALSE),"Lead ID not found"))</x:f>
      </x:c>
      <x:c r="E943" s="54"/>
      <x:c r="F943" s="54"/>
      <x:c r="G943" s="63"/>
      <x:c r="H943" s="54"/>
      <x:c r="I943" s="60"/>
      <x:c r="J943" s="54"/>
      <x:c r="K943" s="54"/>
      <x:c r="L943" s="54"/>
      <x:c r="M943" s="63"/>
    </x:row>
    <x:row r="944">
      <x:c r="A944" s="54"/>
      <x:c r="B944" s="60"/>
      <x:c r="C944" s="54"/>
      <x:c r="D944" s="57" t="str">
        <x:f>IF($C944="","",IFERROR(VLOOKUP($C944,'Leads'!$A$6:$C$505,3,FALSE),"Lead ID not found"))</x:f>
      </x:c>
      <x:c r="E944" s="54"/>
      <x:c r="F944" s="54"/>
      <x:c r="G944" s="63"/>
      <x:c r="H944" s="54"/>
      <x:c r="I944" s="60"/>
      <x:c r="J944" s="54"/>
      <x:c r="K944" s="54"/>
      <x:c r="L944" s="54"/>
      <x:c r="M944" s="63"/>
    </x:row>
    <x:row r="945">
      <x:c r="A945" s="54"/>
      <x:c r="B945" s="60"/>
      <x:c r="C945" s="54"/>
      <x:c r="D945" s="57" t="str">
        <x:f>IF($C945="","",IFERROR(VLOOKUP($C945,'Leads'!$A$6:$C$505,3,FALSE),"Lead ID not found"))</x:f>
      </x:c>
      <x:c r="E945" s="54"/>
      <x:c r="F945" s="54"/>
      <x:c r="G945" s="63"/>
      <x:c r="H945" s="54"/>
      <x:c r="I945" s="60"/>
      <x:c r="J945" s="54"/>
      <x:c r="K945" s="54"/>
      <x:c r="L945" s="54"/>
      <x:c r="M945" s="63"/>
    </x:row>
    <x:row r="946">
      <x:c r="A946" s="54"/>
      <x:c r="B946" s="60"/>
      <x:c r="C946" s="54"/>
      <x:c r="D946" s="57" t="str">
        <x:f>IF($C946="","",IFERROR(VLOOKUP($C946,'Leads'!$A$6:$C$505,3,FALSE),"Lead ID not found"))</x:f>
      </x:c>
      <x:c r="E946" s="54"/>
      <x:c r="F946" s="54"/>
      <x:c r="G946" s="63"/>
      <x:c r="H946" s="54"/>
      <x:c r="I946" s="60"/>
      <x:c r="J946" s="54"/>
      <x:c r="K946" s="54"/>
      <x:c r="L946" s="54"/>
      <x:c r="M946" s="63"/>
    </x:row>
    <x:row r="947">
      <x:c r="A947" s="54"/>
      <x:c r="B947" s="60"/>
      <x:c r="C947" s="54"/>
      <x:c r="D947" s="57" t="str">
        <x:f>IF($C947="","",IFERROR(VLOOKUP($C947,'Leads'!$A$6:$C$505,3,FALSE),"Lead ID not found"))</x:f>
      </x:c>
      <x:c r="E947" s="54"/>
      <x:c r="F947" s="54"/>
      <x:c r="G947" s="63"/>
      <x:c r="H947" s="54"/>
      <x:c r="I947" s="60"/>
      <x:c r="J947" s="54"/>
      <x:c r="K947" s="54"/>
      <x:c r="L947" s="54"/>
      <x:c r="M947" s="63"/>
    </x:row>
    <x:row r="948">
      <x:c r="A948" s="54"/>
      <x:c r="B948" s="60"/>
      <x:c r="C948" s="54"/>
      <x:c r="D948" s="57" t="str">
        <x:f>IF($C948="","",IFERROR(VLOOKUP($C948,'Leads'!$A$6:$C$505,3,FALSE),"Lead ID not found"))</x:f>
      </x:c>
      <x:c r="E948" s="54"/>
      <x:c r="F948" s="54"/>
      <x:c r="G948" s="63"/>
      <x:c r="H948" s="54"/>
      <x:c r="I948" s="60"/>
      <x:c r="J948" s="54"/>
      <x:c r="K948" s="54"/>
      <x:c r="L948" s="54"/>
      <x:c r="M948" s="63"/>
    </x:row>
    <x:row r="949">
      <x:c r="A949" s="54"/>
      <x:c r="B949" s="60"/>
      <x:c r="C949" s="54"/>
      <x:c r="D949" s="57" t="str">
        <x:f>IF($C949="","",IFERROR(VLOOKUP($C949,'Leads'!$A$6:$C$505,3,FALSE),"Lead ID not found"))</x:f>
      </x:c>
      <x:c r="E949" s="54"/>
      <x:c r="F949" s="54"/>
      <x:c r="G949" s="63"/>
      <x:c r="H949" s="54"/>
      <x:c r="I949" s="60"/>
      <x:c r="J949" s="54"/>
      <x:c r="K949" s="54"/>
      <x:c r="L949" s="54"/>
      <x:c r="M949" s="63"/>
    </x:row>
    <x:row r="950">
      <x:c r="A950" s="54"/>
      <x:c r="B950" s="60"/>
      <x:c r="C950" s="54"/>
      <x:c r="D950" s="57" t="str">
        <x:f>IF($C950="","",IFERROR(VLOOKUP($C950,'Leads'!$A$6:$C$505,3,FALSE),"Lead ID not found"))</x:f>
      </x:c>
      <x:c r="E950" s="54"/>
      <x:c r="F950" s="54"/>
      <x:c r="G950" s="63"/>
      <x:c r="H950" s="54"/>
      <x:c r="I950" s="60"/>
      <x:c r="J950" s="54"/>
      <x:c r="K950" s="54"/>
      <x:c r="L950" s="54"/>
      <x:c r="M950" s="63"/>
    </x:row>
    <x:row r="951">
      <x:c r="A951" s="54"/>
      <x:c r="B951" s="60"/>
      <x:c r="C951" s="54"/>
      <x:c r="D951" s="57" t="str">
        <x:f>IF($C951="","",IFERROR(VLOOKUP($C951,'Leads'!$A$6:$C$505,3,FALSE),"Lead ID not found"))</x:f>
      </x:c>
      <x:c r="E951" s="54"/>
      <x:c r="F951" s="54"/>
      <x:c r="G951" s="63"/>
      <x:c r="H951" s="54"/>
      <x:c r="I951" s="60"/>
      <x:c r="J951" s="54"/>
      <x:c r="K951" s="54"/>
      <x:c r="L951" s="54"/>
      <x:c r="M951" s="63"/>
    </x:row>
    <x:row r="952">
      <x:c r="A952" s="54"/>
      <x:c r="B952" s="60"/>
      <x:c r="C952" s="54"/>
      <x:c r="D952" s="57" t="str">
        <x:f>IF($C952="","",IFERROR(VLOOKUP($C952,'Leads'!$A$6:$C$505,3,FALSE),"Lead ID not found"))</x:f>
      </x:c>
      <x:c r="E952" s="54"/>
      <x:c r="F952" s="54"/>
      <x:c r="G952" s="63"/>
      <x:c r="H952" s="54"/>
      <x:c r="I952" s="60"/>
      <x:c r="J952" s="54"/>
      <x:c r="K952" s="54"/>
      <x:c r="L952" s="54"/>
      <x:c r="M952" s="63"/>
    </x:row>
    <x:row r="953">
      <x:c r="A953" s="54"/>
      <x:c r="B953" s="60"/>
      <x:c r="C953" s="54"/>
      <x:c r="D953" s="57" t="str">
        <x:f>IF($C953="","",IFERROR(VLOOKUP($C953,'Leads'!$A$6:$C$505,3,FALSE),"Lead ID not found"))</x:f>
      </x:c>
      <x:c r="E953" s="54"/>
      <x:c r="F953" s="54"/>
      <x:c r="G953" s="63"/>
      <x:c r="H953" s="54"/>
      <x:c r="I953" s="60"/>
      <x:c r="J953" s="54"/>
      <x:c r="K953" s="54"/>
      <x:c r="L953" s="54"/>
      <x:c r="M953" s="63"/>
    </x:row>
    <x:row r="954">
      <x:c r="A954" s="54"/>
      <x:c r="B954" s="60"/>
      <x:c r="C954" s="54"/>
      <x:c r="D954" s="57" t="str">
        <x:f>IF($C954="","",IFERROR(VLOOKUP($C954,'Leads'!$A$6:$C$505,3,FALSE),"Lead ID not found"))</x:f>
      </x:c>
      <x:c r="E954" s="54"/>
      <x:c r="F954" s="54"/>
      <x:c r="G954" s="63"/>
      <x:c r="H954" s="54"/>
      <x:c r="I954" s="60"/>
      <x:c r="J954" s="54"/>
      <x:c r="K954" s="54"/>
      <x:c r="L954" s="54"/>
      <x:c r="M954" s="63"/>
    </x:row>
    <x:row r="955">
      <x:c r="A955" s="54"/>
      <x:c r="B955" s="60"/>
      <x:c r="C955" s="54"/>
      <x:c r="D955" s="57" t="str">
        <x:f>IF($C955="","",IFERROR(VLOOKUP($C955,'Leads'!$A$6:$C$505,3,FALSE),"Lead ID not found"))</x:f>
      </x:c>
      <x:c r="E955" s="54"/>
      <x:c r="F955" s="54"/>
      <x:c r="G955" s="63"/>
      <x:c r="H955" s="54"/>
      <x:c r="I955" s="60"/>
      <x:c r="J955" s="54"/>
      <x:c r="K955" s="54"/>
      <x:c r="L955" s="54"/>
      <x:c r="M955" s="63"/>
    </x:row>
    <x:row r="956">
      <x:c r="A956" s="54"/>
      <x:c r="B956" s="60"/>
      <x:c r="C956" s="54"/>
      <x:c r="D956" s="57" t="str">
        <x:f>IF($C956="","",IFERROR(VLOOKUP($C956,'Leads'!$A$6:$C$505,3,FALSE),"Lead ID not found"))</x:f>
      </x:c>
      <x:c r="E956" s="54"/>
      <x:c r="F956" s="54"/>
      <x:c r="G956" s="63"/>
      <x:c r="H956" s="54"/>
      <x:c r="I956" s="60"/>
      <x:c r="J956" s="54"/>
      <x:c r="K956" s="54"/>
      <x:c r="L956" s="54"/>
      <x:c r="M956" s="63"/>
    </x:row>
    <x:row r="957">
      <x:c r="A957" s="54"/>
      <x:c r="B957" s="60"/>
      <x:c r="C957" s="54"/>
      <x:c r="D957" s="57" t="str">
        <x:f>IF($C957="","",IFERROR(VLOOKUP($C957,'Leads'!$A$6:$C$505,3,FALSE),"Lead ID not found"))</x:f>
      </x:c>
      <x:c r="E957" s="54"/>
      <x:c r="F957" s="54"/>
      <x:c r="G957" s="63"/>
      <x:c r="H957" s="54"/>
      <x:c r="I957" s="60"/>
      <x:c r="J957" s="54"/>
      <x:c r="K957" s="54"/>
      <x:c r="L957" s="54"/>
      <x:c r="M957" s="63"/>
    </x:row>
    <x:row r="958">
      <x:c r="A958" s="54"/>
      <x:c r="B958" s="60"/>
      <x:c r="C958" s="54"/>
      <x:c r="D958" s="57" t="str">
        <x:f>IF($C958="","",IFERROR(VLOOKUP($C958,'Leads'!$A$6:$C$505,3,FALSE),"Lead ID not found"))</x:f>
      </x:c>
      <x:c r="E958" s="54"/>
      <x:c r="F958" s="54"/>
      <x:c r="G958" s="63"/>
      <x:c r="H958" s="54"/>
      <x:c r="I958" s="60"/>
      <x:c r="J958" s="54"/>
      <x:c r="K958" s="54"/>
      <x:c r="L958" s="54"/>
      <x:c r="M958" s="63"/>
    </x:row>
    <x:row r="959">
      <x:c r="A959" s="54"/>
      <x:c r="B959" s="60"/>
      <x:c r="C959" s="54"/>
      <x:c r="D959" s="57" t="str">
        <x:f>IF($C959="","",IFERROR(VLOOKUP($C959,'Leads'!$A$6:$C$505,3,FALSE),"Lead ID not found"))</x:f>
      </x:c>
      <x:c r="E959" s="54"/>
      <x:c r="F959" s="54"/>
      <x:c r="G959" s="63"/>
      <x:c r="H959" s="54"/>
      <x:c r="I959" s="60"/>
      <x:c r="J959" s="54"/>
      <x:c r="K959" s="54"/>
      <x:c r="L959" s="54"/>
      <x:c r="M959" s="63"/>
    </x:row>
    <x:row r="960">
      <x:c r="A960" s="54"/>
      <x:c r="B960" s="60"/>
      <x:c r="C960" s="54"/>
      <x:c r="D960" s="57" t="str">
        <x:f>IF($C960="","",IFERROR(VLOOKUP($C960,'Leads'!$A$6:$C$505,3,FALSE),"Lead ID not found"))</x:f>
      </x:c>
      <x:c r="E960" s="54"/>
      <x:c r="F960" s="54"/>
      <x:c r="G960" s="63"/>
      <x:c r="H960" s="54"/>
      <x:c r="I960" s="60"/>
      <x:c r="J960" s="54"/>
      <x:c r="K960" s="54"/>
      <x:c r="L960" s="54"/>
      <x:c r="M960" s="63"/>
    </x:row>
    <x:row r="961">
      <x:c r="A961" s="54"/>
      <x:c r="B961" s="60"/>
      <x:c r="C961" s="54"/>
      <x:c r="D961" s="57" t="str">
        <x:f>IF($C961="","",IFERROR(VLOOKUP($C961,'Leads'!$A$6:$C$505,3,FALSE),"Lead ID not found"))</x:f>
      </x:c>
      <x:c r="E961" s="54"/>
      <x:c r="F961" s="54"/>
      <x:c r="G961" s="63"/>
      <x:c r="H961" s="54"/>
      <x:c r="I961" s="60"/>
      <x:c r="J961" s="54"/>
      <x:c r="K961" s="54"/>
      <x:c r="L961" s="54"/>
      <x:c r="M961" s="63"/>
    </x:row>
    <x:row r="962">
      <x:c r="A962" s="54"/>
      <x:c r="B962" s="60"/>
      <x:c r="C962" s="54"/>
      <x:c r="D962" s="57" t="str">
        <x:f>IF($C962="","",IFERROR(VLOOKUP($C962,'Leads'!$A$6:$C$505,3,FALSE),"Lead ID not found"))</x:f>
      </x:c>
      <x:c r="E962" s="54"/>
      <x:c r="F962" s="54"/>
      <x:c r="G962" s="63"/>
      <x:c r="H962" s="54"/>
      <x:c r="I962" s="60"/>
      <x:c r="J962" s="54"/>
      <x:c r="K962" s="54"/>
      <x:c r="L962" s="54"/>
      <x:c r="M962" s="63"/>
    </x:row>
    <x:row r="963">
      <x:c r="A963" s="54"/>
      <x:c r="B963" s="60"/>
      <x:c r="C963" s="54"/>
      <x:c r="D963" s="57" t="str">
        <x:f>IF($C963="","",IFERROR(VLOOKUP($C963,'Leads'!$A$6:$C$505,3,FALSE),"Lead ID not found"))</x:f>
      </x:c>
      <x:c r="E963" s="54"/>
      <x:c r="F963" s="54"/>
      <x:c r="G963" s="63"/>
      <x:c r="H963" s="54"/>
      <x:c r="I963" s="60"/>
      <x:c r="J963" s="54"/>
      <x:c r="K963" s="54"/>
      <x:c r="L963" s="54"/>
      <x:c r="M963" s="63"/>
    </x:row>
    <x:row r="964">
      <x:c r="A964" s="54"/>
      <x:c r="B964" s="60"/>
      <x:c r="C964" s="54"/>
      <x:c r="D964" s="57" t="str">
        <x:f>IF($C964="","",IFERROR(VLOOKUP($C964,'Leads'!$A$6:$C$505,3,FALSE),"Lead ID not found"))</x:f>
      </x:c>
      <x:c r="E964" s="54"/>
      <x:c r="F964" s="54"/>
      <x:c r="G964" s="63"/>
      <x:c r="H964" s="54"/>
      <x:c r="I964" s="60"/>
      <x:c r="J964" s="54"/>
      <x:c r="K964" s="54"/>
      <x:c r="L964" s="54"/>
      <x:c r="M964" s="63"/>
    </x:row>
    <x:row r="965">
      <x:c r="A965" s="54"/>
      <x:c r="B965" s="60"/>
      <x:c r="C965" s="54"/>
      <x:c r="D965" s="57" t="str">
        <x:f>IF($C965="","",IFERROR(VLOOKUP($C965,'Leads'!$A$6:$C$505,3,FALSE),"Lead ID not found"))</x:f>
      </x:c>
      <x:c r="E965" s="54"/>
      <x:c r="F965" s="54"/>
      <x:c r="G965" s="63"/>
      <x:c r="H965" s="54"/>
      <x:c r="I965" s="60"/>
      <x:c r="J965" s="54"/>
      <x:c r="K965" s="54"/>
      <x:c r="L965" s="54"/>
      <x:c r="M965" s="63"/>
    </x:row>
    <x:row r="966">
      <x:c r="A966" s="54"/>
      <x:c r="B966" s="60"/>
      <x:c r="C966" s="54"/>
      <x:c r="D966" s="57" t="str">
        <x:f>IF($C966="","",IFERROR(VLOOKUP($C966,'Leads'!$A$6:$C$505,3,FALSE),"Lead ID not found"))</x:f>
      </x:c>
      <x:c r="E966" s="54"/>
      <x:c r="F966" s="54"/>
      <x:c r="G966" s="63"/>
      <x:c r="H966" s="54"/>
      <x:c r="I966" s="60"/>
      <x:c r="J966" s="54"/>
      <x:c r="K966" s="54"/>
      <x:c r="L966" s="54"/>
      <x:c r="M966" s="63"/>
    </x:row>
    <x:row r="967">
      <x:c r="A967" s="54"/>
      <x:c r="B967" s="60"/>
      <x:c r="C967" s="54"/>
      <x:c r="D967" s="57" t="str">
        <x:f>IF($C967="","",IFERROR(VLOOKUP($C967,'Leads'!$A$6:$C$505,3,FALSE),"Lead ID not found"))</x:f>
      </x:c>
      <x:c r="E967" s="54"/>
      <x:c r="F967" s="54"/>
      <x:c r="G967" s="63"/>
      <x:c r="H967" s="54"/>
      <x:c r="I967" s="60"/>
      <x:c r="J967" s="54"/>
      <x:c r="K967" s="54"/>
      <x:c r="L967" s="54"/>
      <x:c r="M967" s="63"/>
    </x:row>
    <x:row r="968">
      <x:c r="A968" s="54"/>
      <x:c r="B968" s="60"/>
      <x:c r="C968" s="54"/>
      <x:c r="D968" s="57" t="str">
        <x:f>IF($C968="","",IFERROR(VLOOKUP($C968,'Leads'!$A$6:$C$505,3,FALSE),"Lead ID not found"))</x:f>
      </x:c>
      <x:c r="E968" s="54"/>
      <x:c r="F968" s="54"/>
      <x:c r="G968" s="63"/>
      <x:c r="H968" s="54"/>
      <x:c r="I968" s="60"/>
      <x:c r="J968" s="54"/>
      <x:c r="K968" s="54"/>
      <x:c r="L968" s="54"/>
      <x:c r="M968" s="63"/>
    </x:row>
    <x:row r="969">
      <x:c r="A969" s="54"/>
      <x:c r="B969" s="60"/>
      <x:c r="C969" s="54"/>
      <x:c r="D969" s="57" t="str">
        <x:f>IF($C969="","",IFERROR(VLOOKUP($C969,'Leads'!$A$6:$C$505,3,FALSE),"Lead ID not found"))</x:f>
      </x:c>
      <x:c r="E969" s="54"/>
      <x:c r="F969" s="54"/>
      <x:c r="G969" s="63"/>
      <x:c r="H969" s="54"/>
      <x:c r="I969" s="60"/>
      <x:c r="J969" s="54"/>
      <x:c r="K969" s="54"/>
      <x:c r="L969" s="54"/>
      <x:c r="M969" s="63"/>
    </x:row>
    <x:row r="970">
      <x:c r="A970" s="54"/>
      <x:c r="B970" s="60"/>
      <x:c r="C970" s="54"/>
      <x:c r="D970" s="57" t="str">
        <x:f>IF($C970="","",IFERROR(VLOOKUP($C970,'Leads'!$A$6:$C$505,3,FALSE),"Lead ID not found"))</x:f>
      </x:c>
      <x:c r="E970" s="54"/>
      <x:c r="F970" s="54"/>
      <x:c r="G970" s="63"/>
      <x:c r="H970" s="54"/>
      <x:c r="I970" s="60"/>
      <x:c r="J970" s="54"/>
      <x:c r="K970" s="54"/>
      <x:c r="L970" s="54"/>
      <x:c r="M970" s="63"/>
    </x:row>
    <x:row r="971">
      <x:c r="A971" s="54"/>
      <x:c r="B971" s="60"/>
      <x:c r="C971" s="54"/>
      <x:c r="D971" s="57" t="str">
        <x:f>IF($C971="","",IFERROR(VLOOKUP($C971,'Leads'!$A$6:$C$505,3,FALSE),"Lead ID not found"))</x:f>
      </x:c>
      <x:c r="E971" s="54"/>
      <x:c r="F971" s="54"/>
      <x:c r="G971" s="63"/>
      <x:c r="H971" s="54"/>
      <x:c r="I971" s="60"/>
      <x:c r="J971" s="54"/>
      <x:c r="K971" s="54"/>
      <x:c r="L971" s="54"/>
      <x:c r="M971" s="63"/>
    </x:row>
    <x:row r="972">
      <x:c r="A972" s="54"/>
      <x:c r="B972" s="60"/>
      <x:c r="C972" s="54"/>
      <x:c r="D972" s="57" t="str">
        <x:f>IF($C972="","",IFERROR(VLOOKUP($C972,'Leads'!$A$6:$C$505,3,FALSE),"Lead ID not found"))</x:f>
      </x:c>
      <x:c r="E972" s="54"/>
      <x:c r="F972" s="54"/>
      <x:c r="G972" s="63"/>
      <x:c r="H972" s="54"/>
      <x:c r="I972" s="60"/>
      <x:c r="J972" s="54"/>
      <x:c r="K972" s="54"/>
      <x:c r="L972" s="54"/>
      <x:c r="M972" s="63"/>
    </x:row>
    <x:row r="973">
      <x:c r="A973" s="54"/>
      <x:c r="B973" s="60"/>
      <x:c r="C973" s="54"/>
      <x:c r="D973" s="57" t="str">
        <x:f>IF($C973="","",IFERROR(VLOOKUP($C973,'Leads'!$A$6:$C$505,3,FALSE),"Lead ID not found"))</x:f>
      </x:c>
      <x:c r="E973" s="54"/>
      <x:c r="F973" s="54"/>
      <x:c r="G973" s="63"/>
      <x:c r="H973" s="54"/>
      <x:c r="I973" s="60"/>
      <x:c r="J973" s="54"/>
      <x:c r="K973" s="54"/>
      <x:c r="L973" s="54"/>
      <x:c r="M973" s="63"/>
    </x:row>
    <x:row r="974">
      <x:c r="A974" s="54"/>
      <x:c r="B974" s="60"/>
      <x:c r="C974" s="54"/>
      <x:c r="D974" s="57" t="str">
        <x:f>IF($C974="","",IFERROR(VLOOKUP($C974,'Leads'!$A$6:$C$505,3,FALSE),"Lead ID not found"))</x:f>
      </x:c>
      <x:c r="E974" s="54"/>
      <x:c r="F974" s="54"/>
      <x:c r="G974" s="63"/>
      <x:c r="H974" s="54"/>
      <x:c r="I974" s="60"/>
      <x:c r="J974" s="54"/>
      <x:c r="K974" s="54"/>
      <x:c r="L974" s="54"/>
      <x:c r="M974" s="63"/>
    </x:row>
    <x:row r="975">
      <x:c r="A975" s="54"/>
      <x:c r="B975" s="60"/>
      <x:c r="C975" s="54"/>
      <x:c r="D975" s="57" t="str">
        <x:f>IF($C975="","",IFERROR(VLOOKUP($C975,'Leads'!$A$6:$C$505,3,FALSE),"Lead ID not found"))</x:f>
      </x:c>
      <x:c r="E975" s="54"/>
      <x:c r="F975" s="54"/>
      <x:c r="G975" s="63"/>
      <x:c r="H975" s="54"/>
      <x:c r="I975" s="60"/>
      <x:c r="J975" s="54"/>
      <x:c r="K975" s="54"/>
      <x:c r="L975" s="54"/>
      <x:c r="M975" s="63"/>
    </x:row>
    <x:row r="976">
      <x:c r="A976" s="54"/>
      <x:c r="B976" s="60"/>
      <x:c r="C976" s="54"/>
      <x:c r="D976" s="57" t="str">
        <x:f>IF($C976="","",IFERROR(VLOOKUP($C976,'Leads'!$A$6:$C$505,3,FALSE),"Lead ID not found"))</x:f>
      </x:c>
      <x:c r="E976" s="54"/>
      <x:c r="F976" s="54"/>
      <x:c r="G976" s="63"/>
      <x:c r="H976" s="54"/>
      <x:c r="I976" s="60"/>
      <x:c r="J976" s="54"/>
      <x:c r="K976" s="54"/>
      <x:c r="L976" s="54"/>
      <x:c r="M976" s="63"/>
    </x:row>
    <x:row r="977">
      <x:c r="A977" s="54"/>
      <x:c r="B977" s="60"/>
      <x:c r="C977" s="54"/>
      <x:c r="D977" s="57" t="str">
        <x:f>IF($C977="","",IFERROR(VLOOKUP($C977,'Leads'!$A$6:$C$505,3,FALSE),"Lead ID not found"))</x:f>
      </x:c>
      <x:c r="E977" s="54"/>
      <x:c r="F977" s="54"/>
      <x:c r="G977" s="63"/>
      <x:c r="H977" s="54"/>
      <x:c r="I977" s="60"/>
      <x:c r="J977" s="54"/>
      <x:c r="K977" s="54"/>
      <x:c r="L977" s="54"/>
      <x:c r="M977" s="63"/>
    </x:row>
    <x:row r="978">
      <x:c r="A978" s="54"/>
      <x:c r="B978" s="60"/>
      <x:c r="C978" s="54"/>
      <x:c r="D978" s="57" t="str">
        <x:f>IF($C978="","",IFERROR(VLOOKUP($C978,'Leads'!$A$6:$C$505,3,FALSE),"Lead ID not found"))</x:f>
      </x:c>
      <x:c r="E978" s="54"/>
      <x:c r="F978" s="54"/>
      <x:c r="G978" s="63"/>
      <x:c r="H978" s="54"/>
      <x:c r="I978" s="60"/>
      <x:c r="J978" s="54"/>
      <x:c r="K978" s="54"/>
      <x:c r="L978" s="54"/>
      <x:c r="M978" s="63"/>
    </x:row>
    <x:row r="979">
      <x:c r="A979" s="54"/>
      <x:c r="B979" s="60"/>
      <x:c r="C979" s="54"/>
      <x:c r="D979" s="57" t="str">
        <x:f>IF($C979="","",IFERROR(VLOOKUP($C979,'Leads'!$A$6:$C$505,3,FALSE),"Lead ID not found"))</x:f>
      </x:c>
      <x:c r="E979" s="54"/>
      <x:c r="F979" s="54"/>
      <x:c r="G979" s="63"/>
      <x:c r="H979" s="54"/>
      <x:c r="I979" s="60"/>
      <x:c r="J979" s="54"/>
      <x:c r="K979" s="54"/>
      <x:c r="L979" s="54"/>
      <x:c r="M979" s="63"/>
    </x:row>
    <x:row r="980">
      <x:c r="A980" s="54"/>
      <x:c r="B980" s="60"/>
      <x:c r="C980" s="54"/>
      <x:c r="D980" s="57" t="str">
        <x:f>IF($C980="","",IFERROR(VLOOKUP($C980,'Leads'!$A$6:$C$505,3,FALSE),"Lead ID not found"))</x:f>
      </x:c>
      <x:c r="E980" s="54"/>
      <x:c r="F980" s="54"/>
      <x:c r="G980" s="63"/>
      <x:c r="H980" s="54"/>
      <x:c r="I980" s="60"/>
      <x:c r="J980" s="54"/>
      <x:c r="K980" s="54"/>
      <x:c r="L980" s="54"/>
      <x:c r="M980" s="63"/>
    </x:row>
    <x:row r="981">
      <x:c r="A981" s="54"/>
      <x:c r="B981" s="60"/>
      <x:c r="C981" s="54"/>
      <x:c r="D981" s="57" t="str">
        <x:f>IF($C981="","",IFERROR(VLOOKUP($C981,'Leads'!$A$6:$C$505,3,FALSE),"Lead ID not found"))</x:f>
      </x:c>
      <x:c r="E981" s="54"/>
      <x:c r="F981" s="54"/>
      <x:c r="G981" s="63"/>
      <x:c r="H981" s="54"/>
      <x:c r="I981" s="60"/>
      <x:c r="J981" s="54"/>
      <x:c r="K981" s="54"/>
      <x:c r="L981" s="54"/>
      <x:c r="M981" s="63"/>
    </x:row>
    <x:row r="982">
      <x:c r="A982" s="54"/>
      <x:c r="B982" s="60"/>
      <x:c r="C982" s="54"/>
      <x:c r="D982" s="57" t="str">
        <x:f>IF($C982="","",IFERROR(VLOOKUP($C982,'Leads'!$A$6:$C$505,3,FALSE),"Lead ID not found"))</x:f>
      </x:c>
      <x:c r="E982" s="54"/>
      <x:c r="F982" s="54"/>
      <x:c r="G982" s="63"/>
      <x:c r="H982" s="54"/>
      <x:c r="I982" s="60"/>
      <x:c r="J982" s="54"/>
      <x:c r="K982" s="54"/>
      <x:c r="L982" s="54"/>
      <x:c r="M982" s="63"/>
    </x:row>
    <x:row r="983">
      <x:c r="A983" s="54"/>
      <x:c r="B983" s="60"/>
      <x:c r="C983" s="54"/>
      <x:c r="D983" s="57" t="str">
        <x:f>IF($C983="","",IFERROR(VLOOKUP($C983,'Leads'!$A$6:$C$505,3,FALSE),"Lead ID not found"))</x:f>
      </x:c>
      <x:c r="E983" s="54"/>
      <x:c r="F983" s="54"/>
      <x:c r="G983" s="63"/>
      <x:c r="H983" s="54"/>
      <x:c r="I983" s="60"/>
      <x:c r="J983" s="54"/>
      <x:c r="K983" s="54"/>
      <x:c r="L983" s="54"/>
      <x:c r="M983" s="63"/>
    </x:row>
    <x:row r="984">
      <x:c r="A984" s="54"/>
      <x:c r="B984" s="60"/>
      <x:c r="C984" s="54"/>
      <x:c r="D984" s="57" t="str">
        <x:f>IF($C984="","",IFERROR(VLOOKUP($C984,'Leads'!$A$6:$C$505,3,FALSE),"Lead ID not found"))</x:f>
      </x:c>
      <x:c r="E984" s="54"/>
      <x:c r="F984" s="54"/>
      <x:c r="G984" s="63"/>
      <x:c r="H984" s="54"/>
      <x:c r="I984" s="60"/>
      <x:c r="J984" s="54"/>
      <x:c r="K984" s="54"/>
      <x:c r="L984" s="54"/>
      <x:c r="M984" s="63"/>
    </x:row>
    <x:row r="985">
      <x:c r="A985" s="54"/>
      <x:c r="B985" s="60"/>
      <x:c r="C985" s="54"/>
      <x:c r="D985" s="57" t="str">
        <x:f>IF($C985="","",IFERROR(VLOOKUP($C985,'Leads'!$A$6:$C$505,3,FALSE),"Lead ID not found"))</x:f>
      </x:c>
      <x:c r="E985" s="54"/>
      <x:c r="F985" s="54"/>
      <x:c r="G985" s="63"/>
      <x:c r="H985" s="54"/>
      <x:c r="I985" s="60"/>
      <x:c r="J985" s="54"/>
      <x:c r="K985" s="54"/>
      <x:c r="L985" s="54"/>
      <x:c r="M985" s="63"/>
    </x:row>
    <x:row r="986">
      <x:c r="A986" s="54"/>
      <x:c r="B986" s="60"/>
      <x:c r="C986" s="54"/>
      <x:c r="D986" s="57" t="str">
        <x:f>IF($C986="","",IFERROR(VLOOKUP($C986,'Leads'!$A$6:$C$505,3,FALSE),"Lead ID not found"))</x:f>
      </x:c>
      <x:c r="E986" s="54"/>
      <x:c r="F986" s="54"/>
      <x:c r="G986" s="63"/>
      <x:c r="H986" s="54"/>
      <x:c r="I986" s="60"/>
      <x:c r="J986" s="54"/>
      <x:c r="K986" s="54"/>
      <x:c r="L986" s="54"/>
      <x:c r="M986" s="63"/>
    </x:row>
    <x:row r="987">
      <x:c r="A987" s="54"/>
      <x:c r="B987" s="60"/>
      <x:c r="C987" s="54"/>
      <x:c r="D987" s="57" t="str">
        <x:f>IF($C987="","",IFERROR(VLOOKUP($C987,'Leads'!$A$6:$C$505,3,FALSE),"Lead ID not found"))</x:f>
      </x:c>
      <x:c r="E987" s="54"/>
      <x:c r="F987" s="54"/>
      <x:c r="G987" s="63"/>
      <x:c r="H987" s="54"/>
      <x:c r="I987" s="60"/>
      <x:c r="J987" s="54"/>
      <x:c r="K987" s="54"/>
      <x:c r="L987" s="54"/>
      <x:c r="M987" s="63"/>
    </x:row>
    <x:row r="988">
      <x:c r="A988" s="54"/>
      <x:c r="B988" s="60"/>
      <x:c r="C988" s="54"/>
      <x:c r="D988" s="57" t="str">
        <x:f>IF($C988="","",IFERROR(VLOOKUP($C988,'Leads'!$A$6:$C$505,3,FALSE),"Lead ID not found"))</x:f>
      </x:c>
      <x:c r="E988" s="54"/>
      <x:c r="F988" s="54"/>
      <x:c r="G988" s="63"/>
      <x:c r="H988" s="54"/>
      <x:c r="I988" s="60"/>
      <x:c r="J988" s="54"/>
      <x:c r="K988" s="54"/>
      <x:c r="L988" s="54"/>
      <x:c r="M988" s="63"/>
    </x:row>
    <x:row r="989">
      <x:c r="A989" s="54"/>
      <x:c r="B989" s="60"/>
      <x:c r="C989" s="54"/>
      <x:c r="D989" s="57" t="str">
        <x:f>IF($C989="","",IFERROR(VLOOKUP($C989,'Leads'!$A$6:$C$505,3,FALSE),"Lead ID not found"))</x:f>
      </x:c>
      <x:c r="E989" s="54"/>
      <x:c r="F989" s="54"/>
      <x:c r="G989" s="63"/>
      <x:c r="H989" s="54"/>
      <x:c r="I989" s="60"/>
      <x:c r="J989" s="54"/>
      <x:c r="K989" s="54"/>
      <x:c r="L989" s="54"/>
      <x:c r="M989" s="63"/>
    </x:row>
    <x:row r="990">
      <x:c r="A990" s="54"/>
      <x:c r="B990" s="60"/>
      <x:c r="C990" s="54"/>
      <x:c r="D990" s="57" t="str">
        <x:f>IF($C990="","",IFERROR(VLOOKUP($C990,'Leads'!$A$6:$C$505,3,FALSE),"Lead ID not found"))</x:f>
      </x:c>
      <x:c r="E990" s="54"/>
      <x:c r="F990" s="54"/>
      <x:c r="G990" s="63"/>
      <x:c r="H990" s="54"/>
      <x:c r="I990" s="60"/>
      <x:c r="J990" s="54"/>
      <x:c r="K990" s="54"/>
      <x:c r="L990" s="54"/>
      <x:c r="M990" s="63"/>
    </x:row>
    <x:row r="991">
      <x:c r="A991" s="54"/>
      <x:c r="B991" s="60"/>
      <x:c r="C991" s="54"/>
      <x:c r="D991" s="57" t="str">
        <x:f>IF($C991="","",IFERROR(VLOOKUP($C991,'Leads'!$A$6:$C$505,3,FALSE),"Lead ID not found"))</x:f>
      </x:c>
      <x:c r="E991" s="54"/>
      <x:c r="F991" s="54"/>
      <x:c r="G991" s="63"/>
      <x:c r="H991" s="54"/>
      <x:c r="I991" s="60"/>
      <x:c r="J991" s="54"/>
      <x:c r="K991" s="54"/>
      <x:c r="L991" s="54"/>
      <x:c r="M991" s="63"/>
    </x:row>
    <x:row r="992">
      <x:c r="A992" s="54"/>
      <x:c r="B992" s="60"/>
      <x:c r="C992" s="54"/>
      <x:c r="D992" s="57" t="str">
        <x:f>IF($C992="","",IFERROR(VLOOKUP($C992,'Leads'!$A$6:$C$505,3,FALSE),"Lead ID not found"))</x:f>
      </x:c>
      <x:c r="E992" s="54"/>
      <x:c r="F992" s="54"/>
      <x:c r="G992" s="63"/>
      <x:c r="H992" s="54"/>
      <x:c r="I992" s="60"/>
      <x:c r="J992" s="54"/>
      <x:c r="K992" s="54"/>
      <x:c r="L992" s="54"/>
      <x:c r="M992" s="63"/>
    </x:row>
    <x:row r="993">
      <x:c r="A993" s="54"/>
      <x:c r="B993" s="60"/>
      <x:c r="C993" s="54"/>
      <x:c r="D993" s="57" t="str">
        <x:f>IF($C993="","",IFERROR(VLOOKUP($C993,'Leads'!$A$6:$C$505,3,FALSE),"Lead ID not found"))</x:f>
      </x:c>
      <x:c r="E993" s="54"/>
      <x:c r="F993" s="54"/>
      <x:c r="G993" s="63"/>
      <x:c r="H993" s="54"/>
      <x:c r="I993" s="60"/>
      <x:c r="J993" s="54"/>
      <x:c r="K993" s="54"/>
      <x:c r="L993" s="54"/>
      <x:c r="M993" s="63"/>
    </x:row>
    <x:row r="994">
      <x:c r="A994" s="54"/>
      <x:c r="B994" s="60"/>
      <x:c r="C994" s="54"/>
      <x:c r="D994" s="57" t="str">
        <x:f>IF($C994="","",IFERROR(VLOOKUP($C994,'Leads'!$A$6:$C$505,3,FALSE),"Lead ID not found"))</x:f>
      </x:c>
      <x:c r="E994" s="54"/>
      <x:c r="F994" s="54"/>
      <x:c r="G994" s="63"/>
      <x:c r="H994" s="54"/>
      <x:c r="I994" s="60"/>
      <x:c r="J994" s="54"/>
      <x:c r="K994" s="54"/>
      <x:c r="L994" s="54"/>
      <x:c r="M994" s="63"/>
    </x:row>
    <x:row r="995">
      <x:c r="A995" s="54"/>
      <x:c r="B995" s="60"/>
      <x:c r="C995" s="54"/>
      <x:c r="D995" s="57" t="str">
        <x:f>IF($C995="","",IFERROR(VLOOKUP($C995,'Leads'!$A$6:$C$505,3,FALSE),"Lead ID not found"))</x:f>
      </x:c>
      <x:c r="E995" s="54"/>
      <x:c r="F995" s="54"/>
      <x:c r="G995" s="63"/>
      <x:c r="H995" s="54"/>
      <x:c r="I995" s="60"/>
      <x:c r="J995" s="54"/>
      <x:c r="K995" s="54"/>
      <x:c r="L995" s="54"/>
      <x:c r="M995" s="63"/>
    </x:row>
    <x:row r="996">
      <x:c r="A996" s="54"/>
      <x:c r="B996" s="60"/>
      <x:c r="C996" s="54"/>
      <x:c r="D996" s="57" t="str">
        <x:f>IF($C996="","",IFERROR(VLOOKUP($C996,'Leads'!$A$6:$C$505,3,FALSE),"Lead ID not found"))</x:f>
      </x:c>
      <x:c r="E996" s="54"/>
      <x:c r="F996" s="54"/>
      <x:c r="G996" s="63"/>
      <x:c r="H996" s="54"/>
      <x:c r="I996" s="60"/>
      <x:c r="J996" s="54"/>
      <x:c r="K996" s="54"/>
      <x:c r="L996" s="54"/>
      <x:c r="M996" s="63"/>
    </x:row>
    <x:row r="997">
      <x:c r="A997" s="54"/>
      <x:c r="B997" s="60"/>
      <x:c r="C997" s="54"/>
      <x:c r="D997" s="57" t="str">
        <x:f>IF($C997="","",IFERROR(VLOOKUP($C997,'Leads'!$A$6:$C$505,3,FALSE),"Lead ID not found"))</x:f>
      </x:c>
      <x:c r="E997" s="54"/>
      <x:c r="F997" s="54"/>
      <x:c r="G997" s="63"/>
      <x:c r="H997" s="54"/>
      <x:c r="I997" s="60"/>
      <x:c r="J997" s="54"/>
      <x:c r="K997" s="54"/>
      <x:c r="L997" s="54"/>
      <x:c r="M997" s="63"/>
    </x:row>
    <x:row r="998">
      <x:c r="A998" s="54"/>
      <x:c r="B998" s="60"/>
      <x:c r="C998" s="54"/>
      <x:c r="D998" s="57" t="str">
        <x:f>IF($C998="","",IFERROR(VLOOKUP($C998,'Leads'!$A$6:$C$505,3,FALSE),"Lead ID not found"))</x:f>
      </x:c>
      <x:c r="E998" s="54"/>
      <x:c r="F998" s="54"/>
      <x:c r="G998" s="63"/>
      <x:c r="H998" s="54"/>
      <x:c r="I998" s="60"/>
      <x:c r="J998" s="54"/>
      <x:c r="K998" s="54"/>
      <x:c r="L998" s="54"/>
      <x:c r="M998" s="63"/>
    </x:row>
    <x:row r="999">
      <x:c r="A999" s="54"/>
      <x:c r="B999" s="60"/>
      <x:c r="C999" s="54"/>
      <x:c r="D999" s="57" t="str">
        <x:f>IF($C999="","",IFERROR(VLOOKUP($C999,'Leads'!$A$6:$C$505,3,FALSE),"Lead ID not found"))</x:f>
      </x:c>
      <x:c r="E999" s="54"/>
      <x:c r="F999" s="54"/>
      <x:c r="G999" s="63"/>
      <x:c r="H999" s="54"/>
      <x:c r="I999" s="60"/>
      <x:c r="J999" s="54"/>
      <x:c r="K999" s="54"/>
      <x:c r="L999" s="54"/>
      <x:c r="M999" s="63"/>
    </x:row>
    <x:row r="1000">
      <x:c r="A1000" s="54"/>
      <x:c r="B1000" s="60"/>
      <x:c r="C1000" s="54"/>
      <x:c r="D1000" s="57" t="str">
        <x:f>IF($C1000="","",IFERROR(VLOOKUP($C1000,'Leads'!$A$6:$C$505,3,FALSE),"Lead ID not found"))</x:f>
      </x:c>
      <x:c r="E1000" s="54"/>
      <x:c r="F1000" s="54"/>
      <x:c r="G1000" s="63"/>
      <x:c r="H1000" s="54"/>
      <x:c r="I1000" s="60"/>
      <x:c r="J1000" s="54"/>
      <x:c r="K1000" s="54"/>
      <x:c r="L1000" s="54"/>
      <x:c r="M1000" s="63"/>
    </x:row>
    <x:row r="1001">
      <x:c r="A1001" s="54"/>
      <x:c r="B1001" s="60"/>
      <x:c r="C1001" s="54"/>
      <x:c r="D1001" s="57" t="str">
        <x:f>IF($C1001="","",IFERROR(VLOOKUP($C1001,'Leads'!$A$6:$C$505,3,FALSE),"Lead ID not found"))</x:f>
      </x:c>
      <x:c r="E1001" s="54"/>
      <x:c r="F1001" s="54"/>
      <x:c r="G1001" s="63"/>
      <x:c r="H1001" s="54"/>
      <x:c r="I1001" s="60"/>
      <x:c r="J1001" s="54"/>
      <x:c r="K1001" s="54"/>
      <x:c r="L1001" s="54"/>
      <x:c r="M1001" s="63"/>
    </x:row>
    <x:row r="1002">
      <x:c r="A1002" s="54"/>
      <x:c r="B1002" s="60"/>
      <x:c r="C1002" s="54"/>
      <x:c r="D1002" s="57" t="str">
        <x:f>IF($C1002="","",IFERROR(VLOOKUP($C1002,'Leads'!$A$6:$C$505,3,FALSE),"Lead ID not found"))</x:f>
      </x:c>
      <x:c r="E1002" s="54"/>
      <x:c r="F1002" s="54"/>
      <x:c r="G1002" s="63"/>
      <x:c r="H1002" s="54"/>
      <x:c r="I1002" s="60"/>
      <x:c r="J1002" s="54"/>
      <x:c r="K1002" s="54"/>
      <x:c r="L1002" s="54"/>
      <x:c r="M1002" s="63"/>
    </x:row>
    <x:row r="1003">
      <x:c r="A1003" s="54"/>
      <x:c r="B1003" s="60"/>
      <x:c r="C1003" s="54"/>
      <x:c r="D1003" s="57" t="str">
        <x:f>IF($C1003="","",IFERROR(VLOOKUP($C1003,'Leads'!$A$6:$C$505,3,FALSE),"Lead ID not found"))</x:f>
      </x:c>
      <x:c r="E1003" s="54"/>
      <x:c r="F1003" s="54"/>
      <x:c r="G1003" s="63"/>
      <x:c r="H1003" s="54"/>
      <x:c r="I1003" s="60"/>
      <x:c r="J1003" s="54"/>
      <x:c r="K1003" s="54"/>
      <x:c r="L1003" s="54"/>
      <x:c r="M1003" s="63"/>
    </x:row>
    <x:row r="1004">
      <x:c r="A1004" s="54"/>
      <x:c r="B1004" s="60"/>
      <x:c r="C1004" s="54"/>
      <x:c r="D1004" s="57" t="str">
        <x:f>IF($C1004="","",IFERROR(VLOOKUP($C1004,'Leads'!$A$6:$C$505,3,FALSE),"Lead ID not found"))</x:f>
      </x:c>
      <x:c r="E1004" s="54"/>
      <x:c r="F1004" s="54"/>
      <x:c r="G1004" s="63"/>
      <x:c r="H1004" s="54"/>
      <x:c r="I1004" s="60"/>
      <x:c r="J1004" s="54"/>
      <x:c r="K1004" s="54"/>
      <x:c r="L1004" s="54"/>
      <x:c r="M1004" s="63"/>
    </x:row>
    <x:row r="1005">
      <x:c r="A1005" s="55"/>
      <x:c r="B1005" s="61"/>
      <x:c r="C1005" s="55"/>
      <x:c r="D1005" s="58" t="str">
        <x:f>IF($C1005="","",IFERROR(VLOOKUP($C1005,'Leads'!$A$6:$C$505,3,FALSE),"Lead ID not found"))</x:f>
      </x:c>
      <x:c r="E1005" s="55"/>
      <x:c r="F1005" s="55"/>
      <x:c r="G1005" s="64"/>
      <x:c r="H1005" s="55"/>
      <x:c r="I1005" s="61"/>
      <x:c r="J1005" s="55"/>
      <x:c r="K1005" s="55"/>
      <x:c r="L1005" s="55"/>
      <x:c r="M1005" s="64"/>
    </x:row>
  </x:sheetData>
  <x:mergeCells>
    <x:mergeCell ref="A1:M1"/>
    <x:mergeCell ref="A2:M2"/>
    <x:mergeCell ref="A3:M3"/>
  </x:mergeCells>
  <x:conditionalFormatting sqref="J6:J1005">
    <x:cfRule type="containsText" dxfId="0" priority="1" operator="containsText" text="No"/>
    <x:cfRule type="containsText" dxfId="1" priority="2" operator="containsText" text="Yes"/>
  </x:conditionalFormatting>
  <x:conditionalFormatting sqref="A6:A1005">
    <x:cfRule type="expression" dxfId="2" priority="3">
      <x:formula>AND($A6&lt;&gt;"",COUNTIF($A$6:$A$1005,$A6)&gt;1)</x:formula>
    </x:cfRule>
  </x:conditionalFormatting>
  <x:dataValidations count="6">
    <x:dataValidation type="list" sqref="C6:C1005">
      <x:formula1>'Leads'!$A$6:$A$505</x:formula1>
    </x:dataValidation>
    <x:dataValidation type="list" sqref="E6:E1005">
      <x:formula1>'Lists &amp; Rules'!$G$5:$G$10</x:formula1>
    </x:dataValidation>
    <x:dataValidation type="list" sqref="F6:F1005">
      <x:formula1>'Lists &amp; Rules'!$H$5:$H$6</x:formula1>
    </x:dataValidation>
    <x:dataValidation type="list" sqref="H6:H1005">
      <x:formula1>'Lists &amp; Rules'!$I$5:$I$13</x:formula1>
    </x:dataValidation>
    <x:dataValidation type="list" sqref="J6:J1005">
      <x:formula1>'Lists &amp; Rules'!$K$5:$K$6</x:formula1>
    </x:dataValidation>
    <x:dataValidation type="list" sqref="K6:K1005">
      <x:formula1>'Lists &amp; Rules'!$J$5:$J$14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2f1d053e941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13" hidden="0" customWidth="1"/>
    <x:col min="5" max="5" width="16" hidden="0" customWidth="1"/>
    <x:col min="6" max="6" width="19" hidden="0" customWidth="1"/>
    <x:col min="7" max="7" width="19" hidden="0" customWidth="1"/>
    <x:col min="8" max="8" width="13" hidden="0" customWidth="1"/>
    <x:col min="9" max="9" width="22" hidden="0" customWidth="1"/>
    <x:col min="10" max="10" width="15" hidden="0" customWidth="1"/>
    <x:col min="11" max="11" width="12" hidden="0" customWidth="1"/>
    <x:col min="12" max="12" width="20" hidden="0" customWidth="1"/>
    <x:col min="13" max="13" width="17" hidden="0" customWidth="1"/>
    <x:col min="14" max="14" width="14" hidden="0" customWidth="1"/>
    <x:col min="15" max="15" width="3" hidden="0" customWidth="1"/>
    <x:col min="16" max="16" width="15" hidden="0" customWidth="1"/>
    <x:col min="17" max="17" width="16" hidden="0" customWidth="1"/>
    <x:col min="18" max="18" width="3" hidden="0" customWidth="1"/>
    <x:col min="19" max="19" width="15" hidden="0" customWidth="1"/>
    <x:col min="20" max="20" width="16" hidden="0" customWidth="1"/>
  </x:cols>
  <x:sheetData>
    <x:row r="1" ht="34" customHeight="1">
      <x:c r="A1" s="3" t="str">
        <x:v>Lists &amp; Rules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6" t="str">
        <x:v>Edit these lists to customize dropdowns, owners, scoring, and stage probabilities.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>
      <x:c r="A4" s="9" t="str">
        <x:v>Statuses</x:v>
      </x:c>
      <x:c r="B4" s="9" t="str">
        <x:v>Interest</x:v>
      </x:c>
      <x:c r="C4" s="9" t="str">
        <x:v>Stages</x:v>
      </x:c>
      <x:c r="D4" s="9" t="str">
        <x:v>Priorities</x:v>
      </x:c>
      <x:c r="E4" s="9" t="str">
        <x:v>Lead Sources</x:v>
      </x:c>
      <x:c r="F4" s="9" t="str">
        <x:v>Preferred Contact</x:v>
      </x:c>
      <x:c r="G4" s="9" t="str">
        <x:v>Activity Channels</x:v>
      </x:c>
      <x:c r="H4" s="9" t="str">
        <x:v>Direction</x:v>
      </x:c>
      <x:c r="I4" s="9" t="str">
        <x:v>Activity Outcomes</x:v>
      </x:c>
      <x:c r="J4" s="9" t="str">
        <x:v>Owners</x:v>
      </x:c>
      <x:c r="K4" s="9" t="str">
        <x:v>Yes / No</x:v>
      </x:c>
      <x:c r="L4" s="9" t="str">
        <x:v>Stage</x:v>
      </x:c>
      <x:c r="M4" s="9" t="str">
        <x:v>Win Probability</x:v>
      </x:c>
      <x:c r="N4" s="9" t="str">
        <x:v>Stage Score</x:v>
      </x:c>
      <x:c r="P4" s="9" t="str">
        <x:v>Interest</x:v>
      </x:c>
      <x:c r="Q4" s="9" t="str">
        <x:v>Interest Score</x:v>
      </x:c>
      <x:c r="S4" s="9" t="str">
        <x:v>Priority</x:v>
      </x:c>
      <x:c r="T4" s="9" t="str">
        <x:v>Priority Score</x:v>
      </x:c>
    </x:row>
    <x:row r="5">
      <x:c r="A5" s="11" t="str">
        <x:v>Active</x:v>
      </x:c>
      <x:c r="B5" s="11" t="str">
        <x:v>Yes</x:v>
      </x:c>
      <x:c r="C5" s="11" t="str">
        <x:v>New</x:v>
      </x:c>
      <x:c r="D5" s="11" t="str">
        <x:v>High</x:v>
      </x:c>
      <x:c r="E5" s="11" t="str">
        <x:v>Referral</x:v>
      </x:c>
      <x:c r="F5" s="11" t="str">
        <x:v>WhatsApp</x:v>
      </x:c>
      <x:c r="G5" s="11" t="str">
        <x:v>WhatsApp</x:v>
      </x:c>
      <x:c r="H5" s="11" t="str">
        <x:v>Outbound</x:v>
      </x:c>
      <x:c r="I5" s="11" t="str">
        <x:v>No reply</x:v>
      </x:c>
      <x:c r="J5" s="11" t="str">
        <x:v>Yazan</x:v>
      </x:c>
      <x:c r="K5" s="11" t="str">
        <x:v>No</x:v>
      </x:c>
      <x:c r="L5" s="11" t="str">
        <x:v>New</x:v>
      </x:c>
      <x:c r="M5" s="13" t="n">
        <x:v>0.05</x:v>
      </x:c>
      <x:c r="N5" s="11" t="n">
        <x:v>5</x:v>
      </x:c>
      <x:c r="P5" s="11" t="str">
        <x:v>Yes</x:v>
      </x:c>
      <x:c r="Q5" s="11" t="n">
        <x:v>30</x:v>
      </x:c>
      <x:c r="S5" s="11" t="str">
        <x:v>High</x:v>
      </x:c>
      <x:c r="T5" s="11" t="n">
        <x:v>20</x:v>
      </x:c>
    </x:row>
    <x:row r="6">
      <x:c r="A6" s="11" t="str">
        <x:v>Nurturing</x:v>
      </x:c>
      <x:c r="B6" s="11" t="str">
        <x:v>Maybe</x:v>
      </x:c>
      <x:c r="C6" s="11" t="str">
        <x:v>Attempting Contact</x:v>
      </x:c>
      <x:c r="D6" s="11" t="str">
        <x:v>Medium</x:v>
      </x:c>
      <x:c r="E6" s="11" t="str">
        <x:v>WhatsApp</x:v>
      </x:c>
      <x:c r="F6" s="11" t="str">
        <x:v>Phone</x:v>
      </x:c>
      <x:c r="G6" s="11" t="str">
        <x:v>Phone Call</x:v>
      </x:c>
      <x:c r="H6" s="12" t="str">
        <x:v>Inbound</x:v>
      </x:c>
      <x:c r="I6" s="11" t="str">
        <x:v>Replied</x:v>
      </x:c>
      <x:c r="J6" s="12" t="str">
        <x:v>Sales</x:v>
      </x:c>
      <x:c r="K6" s="12" t="str">
        <x:v>Yes</x:v>
      </x:c>
      <x:c r="L6" s="11" t="str">
        <x:v>Attempting Contact</x:v>
      </x:c>
      <x:c r="M6" s="13" t="n">
        <x:v>0.1</x:v>
      </x:c>
      <x:c r="N6" s="11" t="n">
        <x:v>7</x:v>
      </x:c>
      <x:c r="P6" s="11" t="str">
        <x:v>Maybe</x:v>
      </x:c>
      <x:c r="Q6" s="11" t="n">
        <x:v>15</x:v>
      </x:c>
      <x:c r="S6" s="11" t="str">
        <x:v>Medium</x:v>
      </x:c>
      <x:c r="T6" s="11" t="n">
        <x:v>10</x:v>
      </x:c>
    </x:row>
    <x:row r="7">
      <x:c r="A7" s="11" t="str">
        <x:v>On Hold</x:v>
      </x:c>
      <x:c r="B7" s="11" t="str">
        <x:v>No</x:v>
      </x:c>
      <x:c r="C7" s="11" t="str">
        <x:v>Contacted</x:v>
      </x:c>
      <x:c r="D7" s="12" t="str">
        <x:v>Low</x:v>
      </x:c>
      <x:c r="E7" s="11" t="str">
        <x:v>Phone</x:v>
      </x:c>
      <x:c r="F7" s="11" t="str">
        <x:v>Email</x:v>
      </x:c>
      <x:c r="G7" s="11" t="str">
        <x:v>Email</x:v>
      </x:c>
      <x:c r="I7" s="11" t="str">
        <x:v>Interested</x:v>
      </x:c>
      <x:c r="L7" s="11" t="str">
        <x:v>Contacted</x:v>
      </x:c>
      <x:c r="M7" s="13" t="n">
        <x:v>0.15</x:v>
      </x:c>
      <x:c r="N7" s="11" t="n">
        <x:v>10</x:v>
      </x:c>
      <x:c r="P7" s="11" t="str">
        <x:v>No</x:v>
      </x:c>
      <x:c r="Q7" s="11" t="n">
        <x:v>0</x:v>
      </x:c>
      <x:c r="S7" s="12" t="str">
        <x:v>Low</x:v>
      </x:c>
      <x:c r="T7" s="12" t="n">
        <x:v>5</x:v>
      </x:c>
    </x:row>
    <x:row r="8">
      <x:c r="A8" s="11" t="str">
        <x:v>Won</x:v>
      </x:c>
      <x:c r="B8" s="12" t="str">
        <x:v>Unknown</x:v>
      </x:c>
      <x:c r="C8" s="11" t="str">
        <x:v>Qualified</x:v>
      </x:c>
      <x:c r="E8" s="11" t="str">
        <x:v>Website</x:v>
      </x:c>
      <x:c r="F8" s="12" t="str">
        <x:v>In-person</x:v>
      </x:c>
      <x:c r="G8" s="11" t="str">
        <x:v>Meeting</x:v>
      </x:c>
      <x:c r="I8" s="11" t="str">
        <x:v>Follow-up needed</x:v>
      </x:c>
      <x:c r="L8" s="11" t="str">
        <x:v>Qualified</x:v>
      </x:c>
      <x:c r="M8" s="13" t="n">
        <x:v>0.3</x:v>
      </x:c>
      <x:c r="N8" s="11" t="n">
        <x:v>15</x:v>
      </x:c>
      <x:c r="P8" s="12" t="str">
        <x:v>Unknown</x:v>
      </x:c>
      <x:c r="Q8" s="12" t="n">
        <x:v>0</x:v>
      </x:c>
    </x:row>
    <x:row r="9">
      <x:c r="A9" s="11" t="str">
        <x:v>Lost</x:v>
      </x:c>
      <x:c r="C9" s="11" t="str">
        <x:v>Demo Scheduled</x:v>
      </x:c>
      <x:c r="E9" s="11" t="str">
        <x:v>Instagram</x:v>
      </x:c>
      <x:c r="G9" s="11" t="str">
        <x:v>Instagram</x:v>
      </x:c>
      <x:c r="I9" s="11" t="str">
        <x:v>Demo booked</x:v>
      </x:c>
      <x:c r="L9" s="11" t="str">
        <x:v>Demo Scheduled</x:v>
      </x:c>
      <x:c r="M9" s="13" t="n">
        <x:v>0.45</x:v>
      </x:c>
      <x:c r="N9" s="11" t="n">
        <x:v>20</x:v>
      </x:c>
    </x:row>
    <x:row r="10">
      <x:c r="A10" s="12" t="str">
        <x:v>Disqualified</x:v>
      </x:c>
      <x:c r="C10" s="11" t="str">
        <x:v>Proposal Sent</x:v>
      </x:c>
      <x:c r="E10" s="11" t="str">
        <x:v>Facebook</x:v>
      </x:c>
      <x:c r="G10" s="12" t="str">
        <x:v>Other</x:v>
      </x:c>
      <x:c r="I10" s="11" t="str">
        <x:v>Proposal sent</x:v>
      </x:c>
      <x:c r="L10" s="11" t="str">
        <x:v>Proposal Sent</x:v>
      </x:c>
      <x:c r="M10" s="13" t="n">
        <x:v>0.6</x:v>
      </x:c>
      <x:c r="N10" s="11" t="n">
        <x:v>25</x:v>
      </x:c>
    </x:row>
    <x:row r="11">
      <x:c r="C11" s="11" t="str">
        <x:v>Negotiation</x:v>
      </x:c>
      <x:c r="E11" s="11" t="str">
        <x:v>LinkedIn</x:v>
      </x:c>
      <x:c r="I11" s="11" t="str">
        <x:v>Not interested</x:v>
      </x:c>
      <x:c r="L11" s="11" t="str">
        <x:v>Negotiation</x:v>
      </x:c>
      <x:c r="M11" s="13" t="n">
        <x:v>0.8</x:v>
      </x:c>
      <x:c r="N11" s="11" t="n">
        <x:v>30</x:v>
      </x:c>
    </x:row>
    <x:row r="12">
      <x:c r="C12" s="11" t="str">
        <x:v>Won</x:v>
      </x:c>
      <x:c r="E12" s="11" t="str">
        <x:v>Event</x:v>
      </x:c>
      <x:c r="I12" s="11" t="str">
        <x:v>Won</x:v>
      </x:c>
      <x:c r="L12" s="11" t="str">
        <x:v>Won</x:v>
      </x:c>
      <x:c r="M12" s="13" t="n">
        <x:v>1</x:v>
      </x:c>
      <x:c r="N12" s="11" t="n">
        <x:v>35</x:v>
      </x:c>
    </x:row>
    <x:row r="13">
      <x:c r="C13" s="12" t="str">
        <x:v>Lost</x:v>
      </x:c>
      <x:c r="E13" s="11" t="str">
        <x:v>Walk-in</x:v>
      </x:c>
      <x:c r="I13" s="12" t="str">
        <x:v>Lost</x:v>
      </x:c>
      <x:c r="L13" s="12" t="str">
        <x:v>Lost</x:v>
      </x:c>
      <x:c r="M13" s="14" t="n">
        <x:v>0</x:v>
      </x:c>
      <x:c r="N13" s="12" t="n">
        <x:v>0</x:v>
      </x:c>
    </x:row>
    <x:row r="14">
      <x:c r="E14" s="12" t="str">
        <x:v>Other</x:v>
      </x:c>
    </x:row>
    <x:row r="16">
      <x:c r="L16" s="34" t="str">
        <x:v>Lead Score = Interest Score + Priority Score + Stage Score + follow-up adjustment + activity points. Scores are capped between 0 and 100. Edit the yellow mapping cells above to change the model.</x:v>
      </x:c>
      <x:c r="M16" s="35"/>
      <x:c r="N16" s="35"/>
      <x:c r="O16" s="35"/>
      <x:c r="P16" s="35"/>
      <x:c r="Q16" s="35"/>
      <x:c r="R16" s="35"/>
      <x:c r="S16" s="35"/>
      <x:c r="T16" s="36"/>
    </x:row>
    <x:row r="17">
      <x:c r="L17" s="37"/>
      <x:c r="M17" s="38"/>
      <x:c r="N17" s="38"/>
      <x:c r="O17" s="38"/>
      <x:c r="P17" s="38"/>
      <x:c r="Q17" s="38"/>
      <x:c r="R17" s="38"/>
      <x:c r="S17" s="38"/>
      <x:c r="T17" s="39"/>
    </x:row>
    <x:row r="18">
      <x:c r="L18" s="37"/>
      <x:c r="M18" s="38"/>
      <x:c r="N18" s="38"/>
      <x:c r="O18" s="38"/>
      <x:c r="P18" s="38"/>
      <x:c r="Q18" s="38"/>
      <x:c r="R18" s="38"/>
      <x:c r="S18" s="38"/>
      <x:c r="T18" s="39"/>
    </x:row>
    <x:row r="19">
      <x:c r="L19" s="40"/>
      <x:c r="M19" s="41"/>
      <x:c r="N19" s="41"/>
      <x:c r="O19" s="41"/>
      <x:c r="P19" s="41"/>
      <x:c r="Q19" s="41"/>
      <x:c r="R19" s="41"/>
      <x:c r="S19" s="41"/>
      <x:c r="T19" s="42"/>
    </x:row>
  </x:sheetData>
  <x:mergeCells>
    <x:mergeCell ref="A1:T1"/>
    <x:mergeCell ref="A2:T2"/>
    <x:mergeCell ref="L16:T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Quick Start — Never Miss a Follow-Up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 simple operating system for leads, messages, calls, demos, proposals, and next actions.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Set up once</x:v>
      </x:c>
      <x:c r="B4" s="9"/>
      <x:c r="C4" s="9"/>
      <x:c r="D4" s="9"/>
      <x:c r="E4" s="9"/>
      <x:c r="F4" s="9"/>
      <x:c r="G4" s="9"/>
      <x:c r="H4" s="9"/>
    </x:row>
    <x:row r="5" ht="34" customHeight="1">
      <x:c r="A5" s="277" t="str">
        <x:v>1</x:v>
      </x:c>
      <x:c r="B5" s="280" t="str">
        <x:v>Open Lists &amp; Rules and replace or add owners.</x:v>
      </x:c>
      <x:c r="C5" s="280"/>
      <x:c r="D5" s="280"/>
      <x:c r="E5" s="280"/>
      <x:c r="F5" s="280"/>
      <x:c r="G5" s="280"/>
      <x:c r="H5" s="280"/>
    </x:row>
    <x:row r="6" ht="34" customHeight="1">
      <x:c r="A6" s="277" t="str">
        <x:v>2</x:v>
      </x:c>
      <x:c r="B6" s="280" t="str">
        <x:v>Adjust stages, sources, scoring, and probabilities only if needed.</x:v>
      </x:c>
      <x:c r="C6" s="280"/>
      <x:c r="D6" s="280"/>
      <x:c r="E6" s="280"/>
      <x:c r="F6" s="280"/>
      <x:c r="G6" s="280"/>
      <x:c r="H6" s="280"/>
    </x:row>
    <x:row r="7" ht="34" customHeight="1">
      <x:c r="A7" s="277" t="str">
        <x:v>3</x:v>
      </x:c>
      <x:c r="B7" s="280" t="str">
        <x:v>Keep the dropdown ranges intact; add new options inside the prepared list areas.</x:v>
      </x:c>
      <x:c r="C7" s="280"/>
      <x:c r="D7" s="280"/>
      <x:c r="E7" s="280"/>
      <x:c r="F7" s="280"/>
      <x:c r="G7" s="280"/>
      <x:c r="H7" s="280"/>
    </x:row>
    <x:row r="8" ht="34" customHeight="1">
      <x:c r="A8" s="277" t="str">
        <x:v>4</x:v>
      </x:c>
      <x:c r="B8" s="281" t="str">
        <x:v>Delete any unwanted blank columns only after checking formulas and validations.</x:v>
      </x:c>
      <x:c r="C8" s="281"/>
      <x:c r="D8" s="281"/>
      <x:c r="E8" s="281"/>
      <x:c r="F8" s="281"/>
      <x:c r="G8" s="281"/>
      <x:c r="H8" s="281"/>
    </x:row>
    <x:row r="10">
      <x:c r="A10" s="9" t="str">
        <x:v>For every new lead</x:v>
      </x:c>
      <x:c r="B10" s="9"/>
      <x:c r="C10" s="9"/>
      <x:c r="D10" s="9"/>
      <x:c r="E10" s="9"/>
      <x:c r="F10" s="9"/>
      <x:c r="G10" s="9"/>
      <x:c r="H10" s="9"/>
    </x:row>
    <x:row r="11" ht="34" customHeight="1">
      <x:c r="A11" s="284" t="str">
        <x:v>1</x:v>
      </x:c>
      <x:c r="B11" s="280" t="str">
        <x:v>Add one row on Leads and give it a unique Lead ID such as L-0001.</x:v>
      </x:c>
      <x:c r="C11" s="280"/>
      <x:c r="D11" s="280"/>
      <x:c r="E11" s="280"/>
      <x:c r="F11" s="280"/>
      <x:c r="G11" s="280"/>
      <x:c r="H11" s="280"/>
    </x:row>
    <x:row r="12" ht="34" customHeight="1">
      <x:c r="A12" s="284" t="str">
        <x:v>2</x:v>
      </x:c>
      <x:c r="B12" s="280" t="str">
        <x:v>Set Status, Interested?, Stage, Priority, Owner, and the Next Action.</x:v>
      </x:c>
      <x:c r="C12" s="280"/>
      <x:c r="D12" s="280"/>
      <x:c r="E12" s="280"/>
      <x:c r="F12" s="280"/>
      <x:c r="G12" s="280"/>
      <x:c r="H12" s="280"/>
    </x:row>
    <x:row r="13" ht="34" customHeight="1">
      <x:c r="A13" s="284" t="str">
        <x:v>3</x:v>
      </x:c>
      <x:c r="B13" s="280" t="str">
        <x:v>Log the first conversation in Activity Log using the exact same Lead ID.</x:v>
      </x:c>
      <x:c r="C13" s="280"/>
      <x:c r="D13" s="280"/>
      <x:c r="E13" s="280"/>
      <x:c r="F13" s="280"/>
      <x:c r="G13" s="280"/>
      <x:c r="H13" s="280"/>
    </x:row>
    <x:row r="14" ht="34" customHeight="1">
      <x:c r="A14" s="284" t="str">
        <x:v>4</x:v>
      </x:c>
      <x:c r="B14" s="280" t="str">
        <x:v>If another message is needed, enter Next Follow-Up and leave Completed? as No.</x:v>
      </x:c>
      <x:c r="C14" s="280"/>
      <x:c r="D14" s="280"/>
      <x:c r="E14" s="280"/>
      <x:c r="F14" s="280"/>
      <x:c r="G14" s="280"/>
      <x:c r="H14" s="280"/>
    </x:row>
    <x:row r="15" ht="34" customHeight="1">
      <x:c r="A15" s="284" t="str">
        <x:v>5</x:v>
      </x:c>
      <x:c r="B15" s="281" t="str">
        <x:v>The Lead Score, Last Contact, Follow-Up Status, probability, value, and Activity Count update automatically.</x:v>
      </x:c>
      <x:c r="C15" s="281"/>
      <x:c r="D15" s="281"/>
      <x:c r="E15" s="281"/>
      <x:c r="F15" s="281"/>
      <x:c r="G15" s="281"/>
      <x:c r="H15" s="281"/>
    </x:row>
    <x:row r="17">
      <x:c r="A17" s="9" t="str">
        <x:v>Daily workflow</x:v>
      </x:c>
      <x:c r="B17" s="9"/>
      <x:c r="C17" s="9"/>
      <x:c r="D17" s="9"/>
      <x:c r="E17" s="9"/>
      <x:c r="F17" s="9"/>
      <x:c r="G17" s="9"/>
      <x:c r="H17" s="9"/>
    </x:row>
    <x:row r="18" ht="34" customHeight="1">
      <x:c r="A18" s="287" t="str">
        <x:v>1</x:v>
      </x:c>
      <x:c r="B18" s="280" t="str">
        <x:v>Open Dashboard. Overdue follow-ups are your first priority.</x:v>
      </x:c>
      <x:c r="C18" s="280"/>
      <x:c r="D18" s="280"/>
      <x:c r="E18" s="280"/>
      <x:c r="F18" s="280"/>
      <x:c r="G18" s="280"/>
      <x:c r="H18" s="280"/>
    </x:row>
    <x:row r="19" ht="34" customHeight="1">
      <x:c r="A19" s="287" t="str">
        <x:v>2</x:v>
      </x:c>
      <x:c r="B19" s="280" t="str">
        <x:v>Go to Leads and filter Follow-Up Status by Overdue, then Today.</x:v>
      </x:c>
      <x:c r="C19" s="280"/>
      <x:c r="D19" s="280"/>
      <x:c r="E19" s="280"/>
      <x:c r="F19" s="280"/>
      <x:c r="G19" s="280"/>
      <x:c r="H19" s="280"/>
    </x:row>
    <x:row r="20" ht="34" customHeight="1">
      <x:c r="A20" s="287" t="str">
        <x:v>3</x:v>
      </x:c>
      <x:c r="B20" s="280" t="str">
        <x:v>After each contact, add a new Activity Log row with a short summary.</x:v>
      </x:c>
      <x:c r="C20" s="280"/>
      <x:c r="D20" s="280"/>
      <x:c r="E20" s="280"/>
      <x:c r="F20" s="280"/>
      <x:c r="G20" s="280"/>
      <x:c r="H20" s="280"/>
    </x:row>
    <x:row r="21" ht="34" customHeight="1">
      <x:c r="A21" s="287" t="str">
        <x:v>4</x:v>
      </x:c>
      <x:c r="B21" s="280" t="str">
        <x:v>Mark the old follow-up Completed? = Yes and set a new follow-up if needed.</x:v>
      </x:c>
      <x:c r="C21" s="280"/>
      <x:c r="D21" s="280"/>
      <x:c r="E21" s="280"/>
      <x:c r="F21" s="280"/>
      <x:c r="G21" s="280"/>
      <x:c r="H21" s="280"/>
    </x:row>
    <x:row r="22" ht="34" customHeight="1">
      <x:c r="A22" s="287" t="str">
        <x:v>5</x:v>
      </x:c>
      <x:c r="B22" s="281" t="str">
        <x:v>Move Stage and Status forward when the lead progresses, wins, or closes.</x:v>
      </x:c>
      <x:c r="C22" s="281"/>
      <x:c r="D22" s="281"/>
      <x:c r="E22" s="281"/>
      <x:c r="F22" s="281"/>
      <x:c r="G22" s="281"/>
      <x:c r="H22" s="281"/>
    </x:row>
    <x:row r="24">
      <x:c r="A24" s="9" t="str">
        <x:v>Color key</x:v>
      </x:c>
      <x:c r="B24" s="9"/>
      <x:c r="C24" s="9"/>
      <x:c r="D24" s="9"/>
      <x:c r="E24" s="9"/>
      <x:c r="F24" s="9"/>
      <x:c r="G24" s="9"/>
      <x:c r="H24" s="9"/>
    </x:row>
    <x:row r="25">
      <x:c r="A25" s="289" t="str">
        <x:v>INPUT CELLS</x:v>
      </x:c>
      <x:c r="B25" s="289"/>
      <x:c r="C25" s="292" t="str">
        <x:v>FORMULA CELLS</x:v>
      </x:c>
      <x:c r="D25" s="292"/>
      <x:c r="E25" s="295" t="str">
        <x:v>OVERDUE</x:v>
      </x:c>
      <x:c r="F25" s="295"/>
      <x:c r="G25" s="297" t="str">
        <x:v>DUE TODAY</x:v>
      </x:c>
      <x:c r="H25" s="297"/>
    </x:row>
    <x:row r="28">
      <x:c r="A28" s="325" t="str">
        <x:v>Important: do not rely on memory or WhatsApp search. The Activity Log is the record of what happened; Next Follow-Up is the commitment for what happens next. If either is missing, the lead can disappear from view.</x:v>
      </x:c>
      <x:c r="B28" s="326"/>
      <x:c r="C28" s="326"/>
      <x:c r="D28" s="326"/>
      <x:c r="E28" s="326"/>
      <x:c r="F28" s="326"/>
      <x:c r="G28" s="326"/>
      <x:c r="H28" s="327"/>
    </x:row>
    <x:row r="29">
      <x:c r="A29" s="328"/>
      <x:c r="B29" s="329"/>
      <x:c r="C29" s="329"/>
      <x:c r="D29" s="329"/>
      <x:c r="E29" s="329"/>
      <x:c r="F29" s="329"/>
      <x:c r="G29" s="329"/>
      <x:c r="H29" s="330"/>
    </x:row>
    <x:row r="30">
      <x:c r="A30" s="328"/>
      <x:c r="B30" s="329"/>
      <x:c r="C30" s="329"/>
      <x:c r="D30" s="329"/>
      <x:c r="E30" s="329"/>
      <x:c r="F30" s="329"/>
      <x:c r="G30" s="329"/>
      <x:c r="H30" s="330"/>
    </x:row>
    <x:row r="31">
      <x:c r="A31" s="328"/>
      <x:c r="B31" s="329"/>
      <x:c r="C31" s="329"/>
      <x:c r="D31" s="329"/>
      <x:c r="E31" s="329"/>
      <x:c r="F31" s="329"/>
      <x:c r="G31" s="329"/>
      <x:c r="H31" s="330"/>
    </x:row>
    <x:row r="32">
      <x:c r="A32" s="331"/>
      <x:c r="B32" s="332"/>
      <x:c r="C32" s="332"/>
      <x:c r="D32" s="332"/>
      <x:c r="E32" s="332"/>
      <x:c r="F32" s="332"/>
      <x:c r="G32" s="332"/>
      <x:c r="H32" s="333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B11:H11"/>
    <x:mergeCell ref="B12:H12"/>
    <x:mergeCell ref="B13:H13"/>
    <x:mergeCell ref="B14:H14"/>
    <x:mergeCell ref="B15:H15"/>
    <x:mergeCell ref="A17:H17"/>
    <x:mergeCell ref="B18:H18"/>
    <x:mergeCell ref="B19:H19"/>
    <x:mergeCell ref="B20:H20"/>
    <x:mergeCell ref="B21:H21"/>
    <x:mergeCell ref="B22:H22"/>
    <x:mergeCell ref="A24:H24"/>
    <x:mergeCell ref="A25:B25"/>
    <x:mergeCell ref="C25:D25"/>
    <x:mergeCell ref="E25:F25"/>
    <x:mergeCell ref="G25:H25"/>
    <x:mergeCell ref="A28:H32"/>
  </x:mergeCells>
  <x:pageMargins left="0.7" right="0.7" top="0.75" bottom="0.75" header="0.3" footer="0.3"/>
</x:worksheet>
</file>